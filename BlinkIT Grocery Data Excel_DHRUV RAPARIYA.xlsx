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FlyTheNest\Data Science\Excel\Excel Cap\Project 2\MyWork\"/>
    </mc:Choice>
  </mc:AlternateContent>
  <xr:revisionPtr revIDLastSave="0" documentId="13_ncr:1_{269C6FC5-4E9A-4AC0-B340-8038145D2917}" xr6:coauthVersionLast="47" xr6:coauthVersionMax="47" xr10:uidLastSave="{00000000-0000-0000-0000-000000000000}"/>
  <bookViews>
    <workbookView xWindow="-108" yWindow="-108" windowWidth="23256" windowHeight="12456" activeTab="1" xr2:uid="{F8420BDF-C08E-4FBB-891B-F574F63AC6D0}"/>
  </bookViews>
  <sheets>
    <sheet name="Pivot Table" sheetId="3" r:id="rId1"/>
    <sheet name="Dashboard" sheetId="4" r:id="rId2"/>
    <sheet name="BlinkIT Grocery Data" sheetId="1" r:id="rId3"/>
  </sheets>
  <definedNames>
    <definedName name="_xlchart.v2.0" hidden="1">'Pivot Table'!$D$116:$D$118</definedName>
    <definedName name="_xlchart.v2.1" hidden="1">'Pivot Table'!$E$115</definedName>
    <definedName name="_xlchart.v2.2" hidden="1">'Pivot Table'!$E$116:$E$118</definedName>
    <definedName name="_xlchart.v2.3" hidden="1">'Pivot Table'!$D$116:$D$118</definedName>
    <definedName name="_xlchart.v2.4" hidden="1">'Pivot Table'!$E$115</definedName>
    <definedName name="_xlchart.v2.5" hidden="1">'Pivot Table'!$E$116:$E$118</definedName>
    <definedName name="Slicer_Item_Type">#N/A</definedName>
    <definedName name="Slicer_Outlet_Location_Type">#N/A</definedName>
    <definedName name="Slicer_Outlet_Size">#N/A</definedName>
  </definedNames>
  <calcPr calcId="191029"/>
  <pivotCaches>
    <pivotCache cacheId="25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7" i="3" l="1"/>
  <c r="D118" i="3"/>
  <c r="D116" i="3"/>
  <c r="B8" i="3"/>
  <c r="E116" i="3"/>
  <c r="C8" i="3"/>
  <c r="E118" i="3"/>
  <c r="E117" i="3"/>
  <c r="A8" i="3"/>
  <c r="D8" i="3"/>
</calcChain>
</file>

<file path=xl/sharedStrings.xml><?xml version="1.0" encoding="utf-8"?>
<sst xmlns="http://schemas.openxmlformats.org/spreadsheetml/2006/main" count="59751" uniqueCount="1629">
  <si>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</si>
  <si>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</si>
  <si>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</si>
  <si>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</si>
  <si>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</si>
  <si>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</si>
  <si>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</si>
  <si>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</si>
  <si>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</si>
  <si>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</si>
  <si>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</si>
  <si>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</si>
  <si>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</si>
  <si>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</si>
  <si>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</si>
  <si>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</si>
  <si>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</si>
  <si>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</si>
  <si>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</si>
  <si>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</si>
  <si>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</si>
  <si>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</si>
  <si>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</si>
  <si>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</si>
  <si>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</si>
  <si>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</si>
  <si>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</si>
  <si>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</si>
  <si>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</si>
  <si>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</si>
  <si>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</si>
  <si>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</si>
  <si>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</si>
  <si>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</si>
  <si>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</si>
  <si>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</si>
  <si>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</si>
  <si>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</si>
  <si>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</si>
  <si>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</si>
  <si>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</si>
  <si>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</si>
  <si>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</si>
  <si>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</si>
  <si>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</si>
  <si>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</si>
  <si>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</si>
  <si>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</si>
  <si>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</si>
  <si>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</si>
  <si>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</si>
  <si>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</si>
  <si>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</si>
  <si>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</si>
  <si>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</si>
  <si>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</si>
  <si>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</si>
  <si>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</si>
  <si>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</si>
  <si>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</si>
  <si>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</si>
  <si>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</si>
  <si>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</si>
  <si>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</si>
  <si>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</si>
  <si>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</si>
  <si>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</si>
  <si>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</si>
  <si>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</si>
  <si>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</si>
  <si>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</si>
  <si>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</si>
  <si>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</si>
  <si>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</si>
  <si>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</si>
  <si>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</si>
  <si>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</si>
  <si>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</si>
  <si>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</si>
  <si>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</si>
  <si>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</si>
  <si>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</si>
  <si>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</si>
  <si>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</si>
  <si>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</si>
  <si>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</si>
  <si>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</si>
  <si>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</si>
  <si>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</si>
  <si>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</si>
  <si>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</si>
  <si>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</si>
  <si>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</si>
  <si>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</si>
  <si>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</si>
  <si>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</si>
  <si>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</si>
  <si>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</si>
  <si>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</si>
  <si>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</si>
  <si>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</si>
  <si>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</si>
  <si>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</si>
  <si>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</si>
  <si>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</si>
  <si>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</si>
  <si>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</si>
  <si>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</si>
  <si>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</si>
  <si>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</si>
  <si>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</si>
  <si>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</si>
  <si>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</si>
  <si>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</si>
  <si>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</si>
  <si>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</si>
  <si>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</si>
  <si>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</si>
  <si>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</si>
  <si>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</si>
  <si>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</si>
  <si>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</si>
  <si>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</si>
  <si>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</si>
  <si>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</si>
  <si>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</si>
  <si>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</si>
  <si>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</si>
  <si>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</si>
  <si>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</si>
  <si>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</si>
  <si>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</si>
  <si>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</si>
  <si>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</si>
  <si>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</si>
  <si>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</si>
  <si>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</si>
  <si>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</si>
  <si>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</si>
  <si>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</si>
  <si>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</si>
  <si>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</si>
  <si>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</si>
  <si>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</si>
  <si>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</si>
  <si>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</si>
  <si>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</si>
  <si>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</si>
  <si>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</si>
  <si>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</si>
  <si>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</si>
  <si>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</si>
  <si>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</si>
  <si>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</si>
  <si>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</si>
  <si>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</si>
  <si>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</si>
  <si>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</si>
  <si>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</si>
  <si>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</si>
  <si>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</si>
  <si>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</si>
  <si>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</si>
  <si>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</si>
  <si>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</si>
  <si>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</si>
  <si>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</si>
  <si>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</si>
  <si>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</si>
  <si>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</si>
  <si>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</si>
  <si>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</si>
  <si>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</si>
  <si>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</si>
  <si>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</si>
  <si>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</si>
  <si>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</si>
  <si>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</si>
  <si>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</si>
  <si>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</si>
  <si>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</si>
  <si>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</si>
  <si>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</si>
  <si>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</si>
  <si>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</si>
  <si>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</si>
  <si>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</si>
  <si>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</si>
  <si>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</si>
  <si>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</si>
  <si>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</si>
  <si>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</si>
  <si>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</si>
  <si>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</si>
  <si>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</si>
  <si>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</si>
  <si>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</si>
  <si>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</si>
  <si>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</si>
  <si>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</si>
  <si>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</si>
  <si>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</si>
  <si>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</si>
  <si>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</si>
  <si>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</si>
  <si>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</si>
  <si>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</si>
  <si>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</si>
  <si>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</si>
  <si>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</si>
  <si>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</si>
  <si>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</si>
  <si>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</si>
  <si>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</si>
  <si>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</si>
  <si>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</si>
  <si>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</si>
  <si>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</si>
  <si>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</si>
  <si>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</si>
  <si>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</si>
  <si>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</si>
  <si>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</si>
  <si>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</si>
  <si>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</si>
  <si>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</si>
  <si>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</si>
  <si>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</si>
  <si>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</si>
  <si>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</si>
  <si>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</si>
  <si>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</si>
  <si>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</si>
  <si>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</si>
  <si>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</si>
  <si>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</si>
  <si>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</si>
  <si>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</si>
  <si>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</si>
  <si>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</si>
  <si>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</si>
  <si>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</si>
  <si>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</si>
  <si>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</si>
  <si>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</si>
  <si>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</si>
  <si>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</si>
  <si>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</si>
  <si>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</si>
  <si>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</si>
  <si>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</si>
  <si>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</si>
  <si>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</si>
  <si>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</si>
  <si>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</si>
  <si>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</si>
  <si>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</si>
  <si>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</si>
  <si>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</si>
  <si>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</si>
  <si>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</si>
  <si>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</si>
  <si>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</si>
  <si>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</si>
  <si>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</si>
  <si>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</si>
  <si>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</si>
  <si>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</si>
  <si>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</si>
  <si>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</si>
  <si>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</si>
  <si>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</si>
  <si>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</si>
  <si>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</si>
  <si>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</si>
  <si>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</si>
  <si>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</si>
  <si>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</si>
  <si>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</si>
  <si>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</si>
  <si>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</si>
  <si>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</si>
  <si>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</si>
  <si>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</si>
  <si>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</si>
  <si>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</si>
  <si>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</si>
  <si>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</si>
  <si>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</si>
  <si>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</si>
  <si>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</si>
  <si>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</si>
  <si>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</si>
  <si>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</si>
  <si>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</si>
  <si>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</si>
  <si>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</si>
  <si>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</si>
  <si>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</si>
  <si>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</si>
  <si>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</si>
  <si>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</si>
  <si>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</si>
  <si>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</si>
  <si>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</si>
  <si>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</si>
  <si>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</si>
  <si>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</si>
  <si>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</si>
  <si>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</si>
  <si>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</si>
  <si>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</si>
  <si>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</si>
  <si>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</si>
  <si>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</si>
  <si>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</si>
  <si>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</si>
  <si>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</si>
  <si>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</si>
  <si>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</si>
  <si>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</si>
  <si>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</si>
  <si>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</si>
  <si>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</si>
  <si>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</si>
  <si>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</si>
  <si>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</si>
  <si>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</si>
  <si>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</si>
  <si>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</si>
  <si>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</si>
  <si>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</si>
  <si>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</si>
  <si>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</si>
  <si>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</si>
  <si>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</si>
  <si>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</si>
  <si>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</si>
  <si>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</si>
  <si>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</si>
  <si>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</si>
  <si>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</si>
  <si>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</si>
  <si>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</si>
  <si>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</si>
  <si>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</si>
  <si>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</si>
  <si>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</si>
  <si>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</si>
  <si>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</si>
  <si>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</si>
  <si>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</si>
  <si>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</si>
  <si>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</si>
  <si>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</si>
  <si>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</si>
  <si>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</si>
  <si>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</si>
  <si>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</si>
  <si>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</si>
  <si>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</si>
  <si>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</si>
  <si>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</si>
  <si>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</si>
  <si>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</si>
  <si>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</si>
  <si>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</si>
  <si>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</si>
  <si>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</si>
  <si>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</si>
  <si>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</si>
  <si>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</si>
  <si>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</si>
  <si>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</si>
  <si>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</si>
  <si>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</si>
  <si>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</si>
  <si>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</si>
  <si>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</si>
  <si>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</si>
  <si>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</si>
  <si>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</si>
  <si>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</si>
  <si>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</si>
  <si>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</si>
  <si>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</si>
  <si>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</si>
  <si>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</si>
  <si>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</si>
  <si>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</si>
  <si>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</si>
  <si>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</si>
  <si>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</si>
  <si>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</si>
  <si>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</si>
  <si>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</si>
  <si>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</si>
  <si>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</si>
  <si>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</si>
  <si>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</si>
  <si>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</si>
  <si>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</si>
  <si>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</si>
  <si>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</si>
  <si>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</si>
  <si>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</si>
  <si>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</si>
  <si>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</si>
  <si>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</si>
  <si>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</si>
  <si>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</si>
  <si>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</si>
  <si>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</si>
  <si>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</si>
  <si>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</si>
  <si>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</si>
  <si>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</si>
  <si>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</si>
  <si>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</si>
  <si>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</si>
  <si>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</si>
  <si>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</si>
  <si>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</si>
  <si>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</si>
  <si>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</si>
  <si>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</si>
  <si>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</si>
  <si>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</si>
  <si>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</si>
  <si>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</si>
  <si>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</si>
  <si>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</si>
  <si>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</si>
  <si>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</si>
  <si>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</si>
  <si>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</si>
  <si>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</si>
  <si>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</si>
  <si>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</si>
  <si>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</si>
  <si>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</si>
  <si>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</si>
  <si>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</si>
  <si>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</si>
  <si>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</si>
  <si>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</si>
  <si>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</si>
  <si>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</si>
  <si>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</si>
  <si>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</si>
  <si>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</si>
  <si>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</si>
  <si>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</si>
  <si>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</si>
  <si>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</si>
  <si>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</si>
  <si>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</si>
  <si>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</si>
  <si>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</si>
  <si>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</si>
  <si>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</si>
  <si>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</si>
  <si>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</si>
  <si>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</si>
  <si>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</si>
  <si>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</si>
  <si>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</si>
  <si>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</si>
  <si>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</si>
  <si>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</si>
  <si>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</si>
  <si>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</si>
  <si>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</si>
  <si>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</si>
  <si>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</si>
  <si>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</si>
  <si>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</si>
  <si>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</si>
  <si>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</si>
  <si>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</si>
  <si>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</si>
  <si>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</si>
  <si>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</si>
  <si>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</si>
  <si>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</si>
  <si>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</si>
  <si>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</si>
  <si>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</si>
  <si>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</si>
  <si>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</si>
  <si>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</si>
  <si>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</si>
  <si>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</si>
  <si>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</si>
  <si>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</si>
  <si>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</si>
  <si>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</si>
  <si>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</si>
  <si>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</si>
  <si>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</si>
  <si>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</si>
  <si>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</si>
  <si>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</si>
  <si>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</si>
  <si>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</si>
  <si>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</si>
  <si>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</si>
  <si>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</si>
  <si>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</si>
  <si>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</si>
  <si>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</si>
  <si>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</si>
  <si>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</si>
  <si>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</si>
  <si>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</si>
  <si>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</si>
  <si>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</si>
  <si>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</si>
  <si>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</si>
  <si>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</si>
  <si>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</si>
  <si>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</si>
  <si>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</si>
  <si>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</si>
  <si>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</si>
  <si>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</si>
  <si>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</si>
  <si>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</si>
  <si>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</si>
  <si>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</si>
  <si>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</si>
  <si>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</si>
  <si>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</si>
  <si>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</si>
  <si>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</si>
  <si>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</si>
  <si>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</si>
  <si>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</si>
  <si>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</si>
  <si>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</si>
  <si>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</si>
  <si>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</si>
  <si>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</si>
  <si>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</si>
  <si>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</si>
  <si>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</si>
  <si>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</si>
  <si>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</si>
  <si>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</si>
  <si>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</si>
  <si>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</si>
  <si>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</si>
  <si>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</si>
  <si>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</si>
  <si>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</si>
  <si>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</si>
  <si>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</si>
  <si>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</si>
  <si>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</si>
  <si>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</si>
  <si>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</si>
  <si>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</si>
  <si>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</si>
  <si>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</si>
  <si>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</si>
  <si>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</si>
  <si>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</si>
  <si>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</si>
  <si>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</si>
  <si>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</si>
  <si>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</si>
  <si>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</si>
  <si>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</si>
  <si>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</si>
  <si>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</si>
  <si>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</si>
  <si>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</si>
  <si>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</si>
  <si>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</si>
  <si>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</si>
  <si>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</si>
  <si>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</si>
  <si>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</si>
  <si>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</si>
  <si>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</si>
  <si>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</si>
  <si>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</si>
  <si>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</si>
  <si>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</si>
  <si>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</si>
  <si>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</si>
  <si>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</si>
  <si>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</si>
  <si>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</si>
  <si>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</si>
  <si>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</si>
  <si>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</si>
  <si>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</si>
  <si>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</si>
  <si>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</si>
  <si>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</si>
  <si>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</si>
  <si>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</si>
  <si>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</si>
  <si>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</si>
  <si>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</si>
  <si>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</si>
  <si>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</si>
  <si>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</si>
  <si>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</si>
  <si>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</si>
  <si>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</si>
  <si>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</si>
  <si>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</si>
  <si>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</si>
  <si>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</si>
  <si>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</si>
  <si>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</si>
  <si>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</si>
  <si>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</si>
  <si>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</si>
  <si>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</si>
  <si>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</si>
  <si>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</si>
  <si>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</si>
  <si>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</si>
  <si>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</si>
  <si>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</si>
  <si>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</si>
  <si>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</si>
  <si>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</si>
  <si>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</si>
  <si>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</si>
  <si>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</si>
  <si>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</si>
  <si>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</si>
  <si>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</si>
  <si>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</si>
  <si>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</si>
  <si>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</si>
  <si>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</si>
  <si>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</si>
  <si>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</si>
  <si>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</si>
  <si>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</si>
  <si>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</si>
  <si>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</si>
  <si>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</si>
  <si>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</si>
  <si>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</si>
  <si>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</si>
  <si>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</si>
  <si>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</si>
  <si>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</si>
  <si>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</si>
  <si>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</si>
  <si>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</si>
  <si>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</si>
  <si>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</si>
  <si>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</si>
  <si>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</si>
  <si>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</si>
  <si>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</si>
  <si>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</si>
  <si>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</si>
  <si>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</si>
  <si>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</si>
  <si>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</si>
  <si>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</si>
  <si>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</si>
  <si>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</si>
  <si>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</si>
  <si>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</si>
  <si>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</si>
  <si>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</si>
  <si>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</si>
  <si>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</si>
  <si>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</si>
  <si>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</si>
  <si>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</si>
  <si>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</si>
  <si>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</si>
  <si>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</si>
  <si>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</si>
  <si>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</si>
  <si>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</si>
  <si>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</si>
  <si>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</si>
  <si>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</si>
  <si>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</si>
  <si>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</si>
  <si>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</si>
  <si>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</si>
  <si>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</si>
  <si>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</si>
  <si>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</si>
  <si>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</si>
  <si>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</si>
  <si>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</si>
  <si>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</si>
  <si>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</si>
  <si>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</si>
  <si>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</si>
  <si>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</si>
  <si>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</si>
  <si>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</si>
  <si>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</si>
  <si>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</si>
  <si>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</si>
  <si>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</si>
  <si>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</si>
  <si>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</si>
  <si>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</si>
  <si>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</si>
  <si>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</si>
  <si>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</si>
  <si>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</si>
  <si>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</si>
  <si>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</si>
  <si>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</si>
  <si>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</si>
  <si>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</si>
  <si>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</si>
  <si>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</si>
  <si>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</si>
  <si>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</si>
  <si>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</si>
  <si>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</si>
  <si>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</si>
  <si>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</si>
  <si>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</si>
  <si>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</si>
  <si>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</si>
  <si>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</si>
  <si>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</si>
  <si>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</si>
  <si>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</si>
  <si>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</si>
  <si>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</si>
  <si>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</si>
  <si>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</si>
  <si>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</si>
  <si>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</si>
  <si>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</si>
  <si>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</si>
  <si>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</si>
  <si>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</si>
  <si>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</si>
  <si>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</si>
  <si>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</si>
  <si>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</si>
  <si>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</si>
  <si>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</si>
  <si>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</si>
  <si>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</si>
  <si>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</si>
  <si>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</si>
  <si>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</si>
  <si>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</si>
  <si>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</si>
  <si>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</si>
  <si>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</si>
  <si>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</si>
  <si>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</si>
  <si>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</si>
  <si>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</si>
  <si>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</si>
  <si>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</si>
  <si>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</si>
  <si>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</si>
  <si>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</si>
  <si>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</si>
  <si>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</si>
  <si>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</si>
  <si>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</si>
  <si>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</si>
  <si>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</si>
  <si>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</si>
  <si>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</si>
  <si>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</si>
  <si>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</si>
  <si>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</si>
  <si>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</si>
  <si>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</si>
  <si>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</si>
  <si>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</si>
  <si>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</si>
  <si>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</si>
  <si>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</si>
  <si>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</si>
  <si>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</si>
  <si>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</si>
  <si>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</si>
  <si>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</si>
  <si>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</si>
  <si>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</si>
  <si>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</si>
  <si>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</si>
  <si>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</si>
  <si>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</si>
  <si>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</si>
  <si>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</si>
  <si>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</si>
  <si>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</si>
  <si>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</si>
  <si>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</si>
  <si>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</si>
  <si>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</si>
  <si>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</si>
  <si>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</si>
  <si>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</si>
  <si>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</si>
  <si>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</si>
  <si>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</si>
  <si>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</si>
  <si>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</si>
  <si>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</si>
  <si>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</si>
  <si>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</si>
  <si>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</si>
  <si>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</si>
  <si>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</si>
  <si>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</si>
  <si>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</si>
  <si>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</si>
  <si>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</si>
  <si>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</si>
  <si>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</si>
  <si>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</si>
  <si>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</si>
  <si>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</si>
  <si>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</si>
  <si>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</si>
  <si>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</si>
  <si>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</si>
  <si>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</si>
  <si>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</si>
  <si>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</si>
  <si>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</si>
  <si>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</si>
  <si>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</si>
  <si>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</si>
  <si>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</si>
  <si>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</si>
  <si>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</si>
  <si>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</si>
  <si>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</si>
  <si>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</si>
  <si>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</si>
  <si>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</si>
  <si>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</si>
  <si>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</si>
  <si>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</si>
  <si>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</si>
  <si>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</si>
  <si>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</si>
  <si>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</si>
  <si>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</si>
  <si>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</si>
  <si>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</si>
  <si>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</si>
  <si>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</si>
  <si>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</si>
  <si>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</si>
  <si>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</si>
  <si>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</si>
  <si>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</si>
  <si>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</si>
  <si>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</si>
  <si>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</si>
  <si>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</si>
  <si>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</si>
  <si>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</si>
  <si>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</si>
  <si>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</si>
  <si>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</si>
  <si>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</si>
  <si>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</si>
  <si>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</si>
  <si>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</si>
  <si>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</si>
  <si>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</si>
  <si>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</si>
  <si>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</si>
  <si>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</si>
  <si>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</si>
  <si>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</si>
  <si>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</si>
  <si>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</si>
  <si>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</si>
  <si>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</si>
  <si>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</si>
  <si>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</si>
  <si>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</si>
  <si>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</si>
  <si>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</si>
  <si>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</si>
  <si>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</si>
  <si>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</si>
  <si>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</si>
  <si>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</si>
  <si>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</si>
  <si>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</si>
  <si>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</si>
  <si>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</si>
  <si>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</si>
  <si>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</si>
  <si>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</si>
  <si>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</si>
  <si>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</si>
  <si>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</si>
  <si>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</si>
  <si>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</si>
  <si>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</si>
  <si>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</si>
  <si>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</si>
  <si>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</si>
  <si>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</si>
  <si>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</si>
  <si>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</si>
  <si>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</si>
  <si>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</si>
  <si>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</si>
  <si>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</si>
  <si>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</si>
  <si>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</si>
  <si>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</si>
  <si>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</si>
  <si>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</si>
  <si>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</si>
  <si>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</si>
  <si>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</si>
  <si>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</si>
  <si>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</si>
  <si>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</si>
  <si>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</si>
  <si>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</si>
  <si>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</si>
  <si>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</si>
  <si>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</si>
  <si>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</si>
  <si>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</si>
  <si>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</si>
  <si>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</si>
  <si>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</si>
  <si>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</si>
  <si>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</si>
  <si>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</si>
  <si>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</si>
  <si>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</si>
  <si>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</si>
  <si>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</si>
  <si>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</si>
  <si>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</si>
  <si>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</si>
  <si>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</si>
  <si>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</si>
  <si>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</si>
  <si>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</si>
  <si>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</si>
  <si>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</si>
  <si>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</si>
  <si>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</si>
  <si>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</si>
  <si>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</si>
  <si>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</si>
  <si>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</si>
  <si>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</si>
  <si>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</si>
  <si>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</si>
  <si>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</si>
  <si>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</si>
  <si>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</si>
  <si>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</si>
  <si>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</si>
  <si>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</si>
  <si>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</si>
  <si>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</si>
  <si>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</si>
  <si>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</si>
  <si>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</si>
  <si>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</si>
  <si>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</si>
  <si>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</si>
  <si>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</si>
  <si>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</si>
  <si>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</si>
  <si>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</si>
  <si>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</si>
  <si>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</si>
  <si>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</si>
  <si>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</si>
  <si>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</si>
  <si>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</si>
  <si>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</si>
  <si>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</si>
  <si>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</si>
  <si>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</si>
  <si>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</si>
  <si>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</si>
  <si>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</si>
  <si>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</si>
  <si>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</si>
  <si>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</si>
  <si>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</si>
  <si>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</si>
  <si>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</si>
  <si>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</si>
  <si>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</si>
  <si>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</si>
  <si>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</si>
  <si>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</si>
  <si>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</si>
  <si>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</si>
  <si>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</si>
  <si>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</si>
  <si>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</si>
  <si>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</si>
  <si>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</si>
  <si>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</si>
  <si>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</si>
  <si>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</si>
  <si>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</si>
  <si>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</si>
  <si>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</si>
  <si>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</si>
  <si>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</si>
  <si>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</si>
  <si>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</si>
  <si>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</si>
  <si>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</si>
  <si>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</si>
  <si>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</si>
  <si>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</si>
  <si>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</si>
  <si>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</si>
  <si>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</si>
  <si>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</si>
  <si>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</si>
  <si>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</si>
  <si>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</si>
  <si>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</si>
  <si>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</si>
  <si>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</si>
  <si>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</si>
  <si>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</si>
  <si>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</si>
  <si>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</si>
  <si>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</si>
  <si>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</si>
  <si>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</si>
  <si>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</si>
  <si>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</si>
  <si>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</si>
  <si>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</si>
  <si>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</si>
  <si>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</si>
  <si>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</si>
  <si>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</si>
  <si>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</si>
  <si>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</si>
  <si>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</si>
  <si>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</si>
  <si>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</si>
  <si>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</si>
  <si>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</si>
  <si>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</si>
  <si>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</si>
  <si>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</si>
  <si>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</si>
  <si>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</si>
  <si>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</si>
  <si>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</si>
  <si>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</si>
  <si>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</si>
  <si>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</si>
  <si>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</si>
  <si>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</si>
  <si>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</si>
  <si>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</si>
  <si>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</si>
  <si>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</si>
  <si>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</si>
  <si>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</si>
  <si>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</si>
  <si>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</si>
  <si>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</si>
  <si>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</si>
  <si>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</si>
  <si>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</si>
  <si>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</si>
  <si>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</si>
  <si>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</si>
  <si>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</si>
  <si>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</si>
  <si>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</si>
  <si>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</si>
  <si>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</si>
  <si>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</si>
  <si>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</si>
  <si>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</si>
  <si>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</si>
  <si>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</si>
  <si>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</si>
  <si>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</si>
  <si>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</si>
  <si>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</si>
  <si>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</si>
  <si>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</si>
  <si>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</si>
  <si>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</si>
  <si>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</si>
  <si>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</si>
  <si>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</si>
  <si>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</si>
  <si>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</si>
  <si>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</si>
  <si>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</si>
  <si>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</si>
  <si>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</si>
  <si>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</si>
  <si>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</si>
  <si>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</si>
  <si>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</si>
  <si>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</si>
  <si>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</si>
  <si>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</si>
  <si>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</si>
  <si>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</si>
  <si>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</si>
  <si>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</si>
  <si>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</si>
  <si>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</si>
  <si>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</si>
  <si>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</si>
  <si>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</si>
  <si>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</si>
  <si>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</si>
  <si>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</si>
  <si>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</si>
  <si>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</si>
  <si>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</si>
  <si>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</si>
  <si>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</si>
  <si>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</si>
  <si>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</si>
  <si>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</si>
  <si>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</si>
  <si>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</si>
  <si>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</si>
  <si>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</si>
  <si>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</si>
  <si>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</si>
  <si>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</si>
  <si>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</si>
  <si>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</si>
  <si>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</si>
  <si>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</si>
  <si>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</si>
  <si>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</si>
  <si>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</si>
  <si>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</si>
  <si>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</si>
  <si>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</si>
  <si>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</si>
  <si>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</si>
  <si>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</si>
  <si>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</si>
  <si>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</si>
  <si>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</si>
  <si>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</si>
  <si>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</si>
  <si>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</si>
  <si>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</si>
  <si>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</si>
  <si>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</si>
  <si>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</si>
  <si>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</si>
  <si>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</si>
  <si>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</si>
  <si>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</si>
  <si>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</si>
  <si>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</si>
  <si>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</si>
  <si>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</si>
  <si>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</si>
  <si>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</si>
  <si>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</si>
  <si>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</si>
  <si>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</si>
  <si>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</si>
  <si>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</si>
  <si>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</si>
  <si>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</si>
  <si>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</si>
  <si>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</si>
  <si>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</si>
  <si>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</si>
  <si>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</si>
  <si>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</si>
  <si>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</si>
  <si>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</si>
  <si>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</si>
  <si>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</si>
  <si>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</si>
  <si>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</si>
  <si>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</si>
  <si>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</si>
  <si>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</si>
  <si>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</si>
  <si>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</si>
  <si>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</si>
  <si>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</si>
  <si>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</si>
  <si>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</si>
  <si>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</si>
  <si>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</si>
  <si>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</si>
  <si>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</si>
  <si>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</si>
  <si>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</si>
  <si>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</si>
  <si>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</si>
  <si>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</si>
  <si>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</si>
  <si>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</si>
  <si>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</si>
  <si>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</si>
  <si>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</si>
  <si>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</si>
  <si>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</si>
  <si>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</si>
  <si>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</si>
  <si>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</si>
  <si>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</si>
  <si>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</si>
  <si>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</si>
  <si>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</si>
  <si>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</si>
  <si>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</si>
  <si>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</si>
  <si>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</si>
  <si>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</si>
  <si>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</si>
  <si>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</si>
  <si>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</si>
  <si>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</si>
  <si>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</si>
  <si>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</si>
  <si>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</si>
  <si>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</si>
  <si>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</si>
  <si>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</si>
  <si>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</si>
  <si>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</si>
  <si>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</si>
  <si>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</si>
  <si>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</si>
  <si>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</si>
  <si>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</si>
  <si>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</si>
  <si>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</si>
  <si>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</si>
  <si>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</si>
  <si>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</si>
  <si>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</si>
  <si>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</si>
  <si>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</si>
  <si>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</si>
  <si>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</si>
  <si>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</si>
  <si>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</si>
  <si>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</si>
  <si>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</si>
  <si>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</si>
  <si>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</si>
  <si>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</si>
  <si>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</si>
  <si>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</si>
  <si>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</si>
  <si>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</si>
  <si>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</si>
  <si>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</si>
  <si>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</si>
  <si>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</si>
  <si>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</si>
  <si>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</si>
  <si>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</si>
  <si>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</si>
  <si>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</si>
  <si>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</si>
  <si>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</si>
  <si>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</si>
  <si>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</si>
  <si>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</si>
  <si>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</si>
  <si>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</si>
  <si>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</si>
  <si>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</si>
  <si>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</si>
  <si>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</si>
  <si>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</si>
  <si>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</si>
  <si>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</si>
  <si>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</si>
  <si>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</si>
  <si>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</si>
  <si>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</si>
  <si>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</si>
  <si>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</si>
  <si>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</si>
  <si>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</si>
  <si>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</si>
  <si>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</si>
  <si>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</si>
  <si>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</si>
  <si>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</si>
  <si>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</si>
  <si>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</si>
  <si>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</si>
  <si>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</si>
  <si>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</si>
  <si>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</si>
  <si>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</si>
  <si>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</si>
  <si>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</si>
  <si>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</si>
  <si>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</si>
  <si>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</si>
  <si>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</si>
  <si>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</si>
  <si>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</si>
  <si>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</si>
  <si>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</si>
  <si>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</si>
  <si>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</si>
  <si>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</si>
  <si>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</si>
  <si>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</si>
  <si>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</si>
  <si>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</si>
  <si>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</si>
  <si>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</si>
  <si>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</si>
  <si>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</si>
  <si>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</si>
  <si>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</si>
  <si>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</si>
  <si>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</si>
  <si>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</si>
  <si>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</si>
  <si>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</si>
  <si>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</si>
  <si>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</si>
  <si>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</si>
  <si>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</si>
  <si>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</si>
  <si>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</si>
  <si>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</si>
  <si>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</si>
  <si>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</si>
  <si>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</si>
  <si>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</si>
  <si>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</si>
  <si>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</si>
  <si>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</si>
  <si>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</si>
  <si>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</si>
  <si>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</si>
  <si>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</si>
  <si>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</si>
  <si>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</si>
  <si>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</si>
  <si>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</si>
  <si>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</si>
  <si>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</si>
  <si>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</si>
  <si>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</si>
  <si>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</si>
  <si>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</si>
  <si>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</si>
  <si>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</si>
  <si>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</si>
  <si>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</si>
  <si>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</si>
  <si>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</si>
  <si>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</si>
  <si>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</si>
  <si>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</si>
  <si>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</si>
  <si>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</si>
  <si>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</si>
  <si>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</si>
  <si>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</si>
  <si>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</si>
  <si>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</si>
  <si>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</si>
  <si>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</si>
  <si>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</si>
  <si>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</si>
  <si>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</si>
  <si>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</si>
  <si>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</si>
  <si>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</si>
  <si>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</si>
  <si>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</si>
  <si>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</si>
  <si>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</si>
  <si>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</si>
  <si>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</si>
  <si>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</si>
  <si>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</si>
  <si>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</si>
  <si>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</si>
  <si>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</si>
  <si>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</si>
  <si>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</si>
  <si>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</si>
  <si>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</si>
  <si>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</si>
  <si>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</si>
  <si>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</si>
  <si>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</si>
  <si>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</si>
  <si>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</si>
  <si>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</si>
  <si>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</si>
  <si>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</si>
  <si>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</si>
  <si>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</si>
  <si>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</si>
  <si>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</si>
  <si>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</si>
  <si>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</si>
  <si>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</si>
  <si>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</si>
  <si>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</si>
  <si>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</si>
  <si>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</si>
  <si>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</si>
  <si>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</si>
  <si>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</si>
  <si>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</si>
  <si>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</si>
  <si>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</si>
  <si>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</si>
  <si>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</si>
  <si>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</si>
  <si>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</si>
  <si>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</si>
  <si>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</si>
  <si>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</si>
  <si>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</si>
  <si>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</si>
  <si>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</si>
  <si>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</si>
  <si>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</si>
  <si>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</si>
  <si>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</si>
  <si>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</si>
  <si>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</si>
  <si>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</si>
  <si>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</si>
  <si>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</si>
  <si>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</si>
  <si>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</si>
  <si>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</si>
  <si>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</si>
  <si>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</si>
  <si>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</si>
  <si>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</si>
  <si>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</si>
  <si>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</si>
  <si>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</si>
  <si>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</si>
  <si>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</si>
  <si>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</si>
  <si>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</si>
  <si>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</si>
  <si>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</si>
  <si>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</si>
  <si>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</si>
  <si>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</si>
  <si>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</si>
  <si>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</si>
  <si>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</si>
  <si>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</si>
  <si>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</si>
  <si>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</si>
  <si>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</si>
  <si>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</si>
  <si>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</si>
  <si>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</si>
  <si>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</si>
  <si>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</si>
  <si>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</si>
  <si>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</si>
  <si>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</si>
  <si>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</si>
  <si>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</si>
  <si>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</si>
  <si>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</si>
  <si>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</si>
  <si>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</si>
  <si>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</si>
  <si>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</si>
  <si>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</si>
  <si>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</si>
  <si>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</si>
  <si>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</si>
  <si>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</si>
  <si>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</si>
  <si>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</si>
  <si>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</si>
  <si>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</si>
  <si>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</si>
  <si>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</si>
  <si>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</si>
  <si>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</si>
  <si>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</si>
  <si>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</si>
  <si>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</si>
  <si>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</si>
  <si>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</si>
  <si>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</si>
  <si>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</si>
  <si>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</si>
  <si>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</si>
  <si>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</si>
  <si>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</si>
  <si>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</si>
  <si>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</si>
  <si>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</si>
  <si>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</si>
  <si>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</si>
  <si>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</si>
  <si>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</si>
  <si>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</si>
  <si>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</si>
  <si>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</si>
  <si>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</si>
  <si>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</si>
  <si>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</si>
  <si>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</si>
  <si>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</si>
  <si>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</si>
  <si>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</si>
  <si>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</si>
  <si>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</si>
  <si>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</si>
  <si>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</si>
  <si>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</si>
  <si>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</si>
  <si>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</si>
  <si>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</si>
  <si>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</si>
  <si>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</si>
  <si>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</si>
  <si>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</si>
  <si>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</si>
  <si>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</si>
  <si>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</si>
  <si>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</si>
  <si>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</si>
  <si>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</si>
  <si>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</si>
  <si>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</si>
  <si>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</si>
  <si>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</si>
  <si>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</si>
  <si>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</si>
  <si>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</si>
  <si>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</si>
  <si>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</si>
  <si>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</si>
  <si>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</si>
  <si>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</si>
  <si>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</si>
  <si>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</si>
  <si>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</si>
  <si>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</si>
  <si>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</si>
  <si>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</si>
  <si>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</si>
  <si>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</si>
  <si>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</si>
  <si>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</si>
  <si>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</si>
  <si>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</si>
  <si>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</si>
  <si>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</si>
  <si>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</si>
  <si>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</si>
  <si>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</si>
  <si>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</si>
  <si>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</si>
  <si>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</si>
  <si>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</si>
  <si>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</si>
  <si>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</si>
  <si>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</si>
  <si>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</si>
  <si>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</si>
  <si>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</si>
  <si>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</si>
  <si>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</si>
  <si>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</si>
  <si>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</si>
  <si>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</si>
  <si>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</si>
  <si>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</si>
  <si>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Count of Item Identifier</t>
  </si>
  <si>
    <t>Average of Sales</t>
  </si>
  <si>
    <t>Average of Rating</t>
  </si>
  <si>
    <t xml:space="preserve">Total Sales </t>
  </si>
  <si>
    <t>Avg Sales</t>
  </si>
  <si>
    <t>No of Items</t>
  </si>
  <si>
    <t>Avg Rating</t>
  </si>
  <si>
    <t>KPI'S Requirements</t>
  </si>
  <si>
    <t>Row Labels</t>
  </si>
  <si>
    <t>Total Sales By Fate Content</t>
  </si>
  <si>
    <t>Total Sales By Item Type</t>
  </si>
  <si>
    <t>Column Labels</t>
  </si>
  <si>
    <t>Fat By Outlet For Total Sales</t>
  </si>
  <si>
    <t>Total Sales By Outlet Establishment</t>
  </si>
  <si>
    <t>OULET LOCATION</t>
  </si>
  <si>
    <t>SALES</t>
  </si>
  <si>
    <t>Total Sales By Outlet Location</t>
  </si>
  <si>
    <t>ALL Matrics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</si>
</sst>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Light"/>
      <family val="2"/>
      <scheme val="major"/>
    </font>
    <font>
      <b/>
      <sz val="12"/>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0" xfId="0" applyNumberFormat="1"/>
    <xf numFmtId="0" fontId="0" fillId="0" borderId="16" xfId="0" applyBorder="1"/>
    <xf numFmtId="0" fontId="0" fillId="0" borderId="17" xfId="0" applyBorder="1"/>
    <xf numFmtId="0" fontId="0" fillId="0" borderId="18" xfId="0" applyBorder="1"/>
    <xf numFmtId="0" fontId="18" fillId="0" borderId="0" xfId="0" applyFont="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10" xfId="0" pivotButton="1" applyBorder="1"/>
    <xf numFmtId="0" fontId="0" fillId="0" borderId="22" xfId="0" applyBorder="1" applyAlignment="1">
      <alignment horizontal="left"/>
    </xf>
    <xf numFmtId="0" fontId="0" fillId="0" borderId="24" xfId="0" applyBorder="1" applyAlignment="1">
      <alignment horizontal="left"/>
    </xf>
    <xf numFmtId="0" fontId="0" fillId="0" borderId="10" xfId="0" applyBorder="1"/>
    <xf numFmtId="167" fontId="0" fillId="0" borderId="22" xfId="0" applyNumberFormat="1" applyBorder="1"/>
    <xf numFmtId="167" fontId="0" fillId="0" borderId="24" xfId="0" applyNumberFormat="1" applyBorder="1"/>
    <xf numFmtId="167" fontId="0" fillId="0" borderId="15" xfId="0" applyNumberFormat="1" applyBorder="1"/>
    <xf numFmtId="167" fontId="0" fillId="0" borderId="18" xfId="0" applyNumberFormat="1" applyBorder="1"/>
    <xf numFmtId="167" fontId="0" fillId="0" borderId="23"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3" xfId="0" applyBorder="1" applyAlignment="1">
      <alignment horizontal="left"/>
    </xf>
    <xf numFmtId="164" fontId="0" fillId="0" borderId="22" xfId="0" applyNumberFormat="1" applyBorder="1"/>
    <xf numFmtId="164" fontId="0" fillId="0" borderId="23" xfId="0" applyNumberFormat="1" applyBorder="1"/>
    <xf numFmtId="164" fontId="0" fillId="0" borderId="24" xfId="0" applyNumberFormat="1" applyBorder="1"/>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19"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6" fillId="33" borderId="14" xfId="0" applyFont="1" applyFill="1" applyBorder="1" applyAlignment="1">
      <alignment horizontal="center"/>
    </xf>
    <xf numFmtId="0" fontId="16" fillId="33" borderId="0" xfId="0" applyFont="1" applyFill="1" applyAlignment="1">
      <alignment horizontal="center"/>
    </xf>
    <xf numFmtId="0" fontId="16" fillId="33" borderId="15"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4" xfId="0" applyNumberFormat="1" applyBorder="1"/>
    <xf numFmtId="0"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C8A191B7-9CD1-4BBE-8DC5-06659344079A}">
      <tableStyleElement type="wholeTable" dxfId="457"/>
      <tableStyleElement type="headerRow" dxfId="456"/>
    </tableStyle>
  </tableStyles>
  <colors>
    <mruColors>
      <color rgb="FFFAFAFA"/>
      <color rgb="FFFFD200"/>
      <color rgb="FFD0AC2C"/>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B1-4208-928C-36308EE9E5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B1-4208-928C-36308EE9E528}"/>
              </c:ext>
            </c:extLst>
          </c:dPt>
          <c:cat>
            <c:strRef>
              <c:f>'Pivot Table'!$A$19:$A$20</c:f>
              <c:strCache>
                <c:ptCount val="2"/>
                <c:pt idx="0">
                  <c:v>Low Fat</c:v>
                </c:pt>
                <c:pt idx="1">
                  <c:v>Regular</c:v>
                </c:pt>
              </c:strCache>
            </c:strRef>
          </c:cat>
          <c:val>
            <c:numRef>
              <c:f>'Pivot Table'!$B$19:$B$20</c:f>
              <c:numCache>
                <c:formatCode>"$"0.0,"K"</c:formatCode>
                <c:ptCount val="2"/>
                <c:pt idx="0">
                  <c:v>776319.68840000057</c:v>
                </c:pt>
                <c:pt idx="1">
                  <c:v>425361.8043999995</c:v>
                </c:pt>
              </c:numCache>
            </c:numRef>
          </c:val>
          <c:extLst>
            <c:ext xmlns:c16="http://schemas.microsoft.com/office/drawing/2014/chart" uri="{C3380CC4-5D6E-409C-BE32-E72D297353CC}">
              <c16:uniqueId val="{00000000-C968-41E1-9047-1FED0A6B29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Table'!$B$32:$B$33</c:f>
              <c:strCache>
                <c:ptCount val="1"/>
                <c:pt idx="0">
                  <c:v>Regular</c:v>
                </c:pt>
              </c:strCache>
            </c:strRef>
          </c:tx>
          <c:spPr>
            <a:solidFill>
              <a:schemeClr val="accent1"/>
            </a:solidFill>
            <a:ln>
              <a:noFill/>
            </a:ln>
            <a:effectLst/>
          </c:spPr>
          <c:invertIfNegative val="0"/>
          <c:cat>
            <c:strRef>
              <c:f>'Pivot Table'!$A$34:$A$36</c:f>
              <c:strCache>
                <c:ptCount val="3"/>
                <c:pt idx="0">
                  <c:v>Tier 1</c:v>
                </c:pt>
                <c:pt idx="1">
                  <c:v>Tier 2</c:v>
                </c:pt>
                <c:pt idx="2">
                  <c:v>Tier 3</c:v>
                </c:pt>
              </c:strCache>
            </c:strRef>
          </c:cat>
          <c:val>
            <c:numRef>
              <c:f>'Pivot Table'!$B$34:$B$36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B62-48E8-BB7C-C35DA574DBCB}"/>
            </c:ext>
          </c:extLst>
        </c:ser>
        <c:ser>
          <c:idx val="1"/>
          <c:order val="1"/>
          <c:tx>
            <c:strRef>
              <c:f>'Pivot Table'!$C$32:$C$33</c:f>
              <c:strCache>
                <c:ptCount val="1"/>
                <c:pt idx="0">
                  <c:v>Low Fat</c:v>
                </c:pt>
              </c:strCache>
            </c:strRef>
          </c:tx>
          <c:spPr>
            <a:solidFill>
              <a:schemeClr val="accent2"/>
            </a:solidFill>
            <a:ln>
              <a:noFill/>
            </a:ln>
            <a:effectLst/>
          </c:spPr>
          <c:invertIfNegative val="0"/>
          <c:cat>
            <c:strRef>
              <c:f>'Pivot Table'!$A$34:$A$36</c:f>
              <c:strCache>
                <c:ptCount val="3"/>
                <c:pt idx="0">
                  <c:v>Tier 1</c:v>
                </c:pt>
                <c:pt idx="1">
                  <c:v>Tier 2</c:v>
                </c:pt>
                <c:pt idx="2">
                  <c:v>Tier 3</c:v>
                </c:pt>
              </c:strCache>
            </c:strRef>
          </c:cat>
          <c:val>
            <c:numRef>
              <c:f>'Pivot Table'!$C$34:$C$36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B62-48E8-BB7C-C35DA574DBCB}"/>
            </c:ext>
          </c:extLst>
        </c:ser>
        <c:dLbls>
          <c:showLegendKey val="0"/>
          <c:showVal val="0"/>
          <c:showCatName val="0"/>
          <c:showSerName val="0"/>
          <c:showPercent val="0"/>
          <c:showBubbleSize val="0"/>
        </c:dLbls>
        <c:gapWidth val="182"/>
        <c:axId val="1084085712"/>
        <c:axId val="1084081392"/>
      </c:barChart>
      <c:catAx>
        <c:axId val="108408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81392"/>
        <c:crosses val="autoZero"/>
        <c:auto val="1"/>
        <c:lblAlgn val="ctr"/>
        <c:lblOffset val="100"/>
        <c:noMultiLvlLbl val="0"/>
      </c:catAx>
      <c:valAx>
        <c:axId val="1084081392"/>
        <c:scaling>
          <c:orientation val="minMax"/>
        </c:scaling>
        <c:delete val="1"/>
        <c:axPos val="b"/>
        <c:numFmt formatCode="&quot;$&quot;0.0,&quot;K&quot;" sourceLinked="1"/>
        <c:majorTickMark val="none"/>
        <c:minorTickMark val="none"/>
        <c:tickLblPos val="nextTo"/>
        <c:crossAx val="1084085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accent1"/>
            </a:solidFill>
            <a:ln>
              <a:noFill/>
            </a:ln>
            <a:effectLst/>
          </c:spPr>
          <c:invertIfNegative val="0"/>
          <c:cat>
            <c:strRef>
              <c:f>'Pivot Table'!$A$52:$A$67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Table'!$B$52:$B$67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5FE-4712-8BF0-C41F0BB198F3}"/>
            </c:ext>
          </c:extLst>
        </c:ser>
        <c:dLbls>
          <c:showLegendKey val="0"/>
          <c:showVal val="0"/>
          <c:showCatName val="0"/>
          <c:showSerName val="0"/>
          <c:showPercent val="0"/>
          <c:showBubbleSize val="0"/>
        </c:dLbls>
        <c:gapWidth val="182"/>
        <c:axId val="1076021200"/>
        <c:axId val="1076020240"/>
      </c:barChart>
      <c:catAx>
        <c:axId val="107602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020240"/>
        <c:crosses val="autoZero"/>
        <c:auto val="1"/>
        <c:lblAlgn val="ctr"/>
        <c:lblOffset val="100"/>
        <c:noMultiLvlLbl val="0"/>
      </c:catAx>
      <c:valAx>
        <c:axId val="1076020240"/>
        <c:scaling>
          <c:orientation val="minMax"/>
        </c:scaling>
        <c:delete val="1"/>
        <c:axPos val="b"/>
        <c:numFmt formatCode="&quot;$&quot;0.0,&quot;K&quot;" sourceLinked="1"/>
        <c:majorTickMark val="none"/>
        <c:minorTickMark val="none"/>
        <c:tickLblPos val="nextTo"/>
        <c:crossAx val="1076021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Table'!$B$76</c:f>
              <c:strCache>
                <c:ptCount val="1"/>
                <c:pt idx="0">
                  <c:v>Total</c:v>
                </c:pt>
              </c:strCache>
            </c:strRef>
          </c:tx>
          <c:spPr>
            <a:solidFill>
              <a:schemeClr val="accent1"/>
            </a:solidFill>
            <a:ln>
              <a:noFill/>
            </a:ln>
            <a:effectLst/>
          </c:spPr>
          <c:cat>
            <c:strRef>
              <c:f>'Pivot Table'!$A$77:$A$85</c:f>
              <c:strCache>
                <c:ptCount val="9"/>
                <c:pt idx="0">
                  <c:v>2011</c:v>
                </c:pt>
                <c:pt idx="1">
                  <c:v>2012</c:v>
                </c:pt>
                <c:pt idx="2">
                  <c:v>2014</c:v>
                </c:pt>
                <c:pt idx="3">
                  <c:v>2015</c:v>
                </c:pt>
                <c:pt idx="4">
                  <c:v>2016</c:v>
                </c:pt>
                <c:pt idx="5">
                  <c:v>2017</c:v>
                </c:pt>
                <c:pt idx="6">
                  <c:v>2018</c:v>
                </c:pt>
                <c:pt idx="7">
                  <c:v>2020</c:v>
                </c:pt>
                <c:pt idx="8">
                  <c:v>2022</c:v>
                </c:pt>
              </c:strCache>
            </c:strRef>
          </c:cat>
          <c:val>
            <c:numRef>
              <c:f>'Pivot Table'!$B$77:$B$85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429-49EB-9146-F730CD5FC3A5}"/>
            </c:ext>
          </c:extLst>
        </c:ser>
        <c:dLbls>
          <c:showLegendKey val="0"/>
          <c:showVal val="0"/>
          <c:showCatName val="0"/>
          <c:showSerName val="0"/>
          <c:showPercent val="0"/>
          <c:showBubbleSize val="0"/>
        </c:dLbls>
        <c:axId val="1084106832"/>
        <c:axId val="1084104432"/>
      </c:areaChart>
      <c:catAx>
        <c:axId val="1084106832"/>
        <c:scaling>
          <c:orientation val="minMax"/>
        </c:scaling>
        <c:delete val="1"/>
        <c:axPos val="b"/>
        <c:numFmt formatCode="General" sourceLinked="1"/>
        <c:majorTickMark val="out"/>
        <c:minorTickMark val="none"/>
        <c:tickLblPos val="nextTo"/>
        <c:crossAx val="1084104432"/>
        <c:crosses val="autoZero"/>
        <c:auto val="1"/>
        <c:lblAlgn val="ctr"/>
        <c:lblOffset val="100"/>
        <c:noMultiLvlLbl val="0"/>
      </c:catAx>
      <c:valAx>
        <c:axId val="1084104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06832"/>
        <c:crosses val="autoZero"/>
        <c:crossBetween val="midCat"/>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B3-46E2-BCF8-63E5CE5AF4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B3-46E2-BCF8-63E5CE5AF4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B3-46E2-BCF8-63E5CE5AF45F}"/>
              </c:ext>
            </c:extLst>
          </c:dPt>
          <c:cat>
            <c:strRef>
              <c:f>'Pivot Table'!$A$97:$A$99</c:f>
              <c:strCache>
                <c:ptCount val="3"/>
                <c:pt idx="0">
                  <c:v>High</c:v>
                </c:pt>
                <c:pt idx="1">
                  <c:v>Medium</c:v>
                </c:pt>
                <c:pt idx="2">
                  <c:v>Small</c:v>
                </c:pt>
              </c:strCache>
            </c:strRef>
          </c:cat>
          <c:val>
            <c:numRef>
              <c:f>'Pivot Table'!$B$97:$B$99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B56-4684-82C3-2E7D48F78ED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Table'!$A$143:$A$146</c:f>
              <c:strCache>
                <c:ptCount val="4"/>
                <c:pt idx="0">
                  <c:v>Grocery Store</c:v>
                </c:pt>
                <c:pt idx="1">
                  <c:v>Supermarket Type1</c:v>
                </c:pt>
                <c:pt idx="2">
                  <c:v>Supermarket Type2</c:v>
                </c:pt>
                <c:pt idx="3">
                  <c:v>Supermarket Type3</c:v>
                </c:pt>
              </c:strCache>
            </c:strRef>
          </c:cat>
          <c:val>
            <c:numRef>
              <c:f>'Pivot Table'!$B$143:$B$146</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D0B3-48E2-B51D-65D0B4860A2D}"/>
            </c:ext>
          </c:extLst>
        </c:ser>
        <c:dLbls>
          <c:dLblPos val="outEnd"/>
          <c:showLegendKey val="0"/>
          <c:showVal val="1"/>
          <c:showCatName val="0"/>
          <c:showSerName val="0"/>
          <c:showPercent val="0"/>
          <c:showBubbleSize val="0"/>
        </c:dLbls>
        <c:gapWidth val="182"/>
        <c:axId val="1294566064"/>
        <c:axId val="1294565584"/>
      </c:barChart>
      <c:catAx>
        <c:axId val="129456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565584"/>
        <c:crosses val="autoZero"/>
        <c:auto val="1"/>
        <c:lblAlgn val="ctr"/>
        <c:lblOffset val="100"/>
        <c:noMultiLvlLbl val="0"/>
      </c:catAx>
      <c:valAx>
        <c:axId val="1294565584"/>
        <c:scaling>
          <c:orientation val="minMax"/>
        </c:scaling>
        <c:delete val="1"/>
        <c:axPos val="b"/>
        <c:numFmt formatCode="&quot;$&quot;0.0,&quot;K&quot;" sourceLinked="1"/>
        <c:majorTickMark val="none"/>
        <c:minorTickMark val="none"/>
        <c:tickLblPos val="nextTo"/>
        <c:crossAx val="1294566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Table!PivotTable9</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Table'!$A$157:$A$160</c:f>
              <c:strCache>
                <c:ptCount val="4"/>
                <c:pt idx="0">
                  <c:v>Grocery Store</c:v>
                </c:pt>
                <c:pt idx="1">
                  <c:v>Supermarket Type1</c:v>
                </c:pt>
                <c:pt idx="2">
                  <c:v>Supermarket Type2</c:v>
                </c:pt>
                <c:pt idx="3">
                  <c:v>Supermarket Type3</c:v>
                </c:pt>
              </c:strCache>
            </c:strRef>
          </c:cat>
          <c:val>
            <c:numRef>
              <c:f>'Pivot Table'!$B$157:$B$160</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B09A-450D-9E25-531DA12D0BA0}"/>
            </c:ext>
          </c:extLst>
        </c:ser>
        <c:dLbls>
          <c:dLblPos val="outEnd"/>
          <c:showLegendKey val="0"/>
          <c:showVal val="1"/>
          <c:showCatName val="0"/>
          <c:showSerName val="0"/>
          <c:showPercent val="0"/>
          <c:showBubbleSize val="0"/>
        </c:dLbls>
        <c:gapWidth val="182"/>
        <c:axId val="1309320352"/>
        <c:axId val="1309324192"/>
      </c:barChart>
      <c:catAx>
        <c:axId val="130932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324192"/>
        <c:crosses val="autoZero"/>
        <c:auto val="1"/>
        <c:lblAlgn val="ctr"/>
        <c:lblOffset val="100"/>
        <c:noMultiLvlLbl val="0"/>
      </c:catAx>
      <c:valAx>
        <c:axId val="1309324192"/>
        <c:scaling>
          <c:orientation val="minMax"/>
        </c:scaling>
        <c:delete val="1"/>
        <c:axPos val="b"/>
        <c:numFmt formatCode="&quot;$&quot;0" sourceLinked="1"/>
        <c:majorTickMark val="none"/>
        <c:minorTickMark val="none"/>
        <c:tickLblPos val="nextTo"/>
        <c:crossAx val="1309320352"/>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Table!PivotTable10</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Table'!$B$173</c:f>
              <c:strCache>
                <c:ptCount val="1"/>
                <c:pt idx="0">
                  <c:v>Total</c:v>
                </c:pt>
              </c:strCache>
            </c:strRef>
          </c:tx>
          <c:spPr>
            <a:solidFill>
              <a:schemeClr val="accent1"/>
            </a:solidFill>
            <a:ln>
              <a:noFill/>
            </a:ln>
            <a:effectLst/>
          </c:spPr>
          <c:invertIfNegative val="0"/>
          <c:cat>
            <c:strRef>
              <c:f>'Pivot Table'!$A$174:$A$177</c:f>
              <c:strCache>
                <c:ptCount val="4"/>
                <c:pt idx="0">
                  <c:v>Grocery Store</c:v>
                </c:pt>
                <c:pt idx="1">
                  <c:v>Supermarket Type1</c:v>
                </c:pt>
                <c:pt idx="2">
                  <c:v>Supermarket Type2</c:v>
                </c:pt>
                <c:pt idx="3">
                  <c:v>Supermarket Type3</c:v>
                </c:pt>
              </c:strCache>
            </c:strRef>
          </c:cat>
          <c:val>
            <c:numRef>
              <c:f>'Pivot Table'!$B$174:$B$177</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F6FD-4222-BBB9-70959B23E968}"/>
            </c:ext>
          </c:extLst>
        </c:ser>
        <c:dLbls>
          <c:showLegendKey val="0"/>
          <c:showVal val="0"/>
          <c:showCatName val="0"/>
          <c:showSerName val="0"/>
          <c:showPercent val="0"/>
          <c:showBubbleSize val="0"/>
        </c:dLbls>
        <c:gapWidth val="182"/>
        <c:axId val="1186049440"/>
        <c:axId val="1186048480"/>
      </c:barChart>
      <c:catAx>
        <c:axId val="118604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048480"/>
        <c:crosses val="autoZero"/>
        <c:auto val="1"/>
        <c:lblAlgn val="ctr"/>
        <c:lblOffset val="100"/>
        <c:noMultiLvlLbl val="0"/>
      </c:catAx>
      <c:valAx>
        <c:axId val="1186048480"/>
        <c:scaling>
          <c:orientation val="minMax"/>
        </c:scaling>
        <c:delete val="1"/>
        <c:axPos val="b"/>
        <c:numFmt formatCode="General" sourceLinked="1"/>
        <c:majorTickMark val="none"/>
        <c:minorTickMark val="none"/>
        <c:tickLblPos val="nextTo"/>
        <c:crossAx val="11860494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417013888888879"/>
              <c:y val="0.1805809465772902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992447916666668"/>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5.5121527777777776E-2"/>
              <c:y val="-0.161232734105220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96614583333335"/>
                  <c:h val="0.25094302254722728"/>
                </c:manualLayout>
              </c15:layout>
            </c:ext>
          </c:extLst>
        </c:dLbl>
      </c:pivotFmt>
    </c:pivotFmts>
    <c:plotArea>
      <c:layout>
        <c:manualLayout>
          <c:layoutTarget val="inner"/>
          <c:xMode val="edge"/>
          <c:yMode val="edge"/>
          <c:x val="0.14469010416666664"/>
          <c:y val="0.13631474710542352"/>
          <c:w val="0.70918055555555559"/>
          <c:h val="0.82498933577087141"/>
        </c:manualLayout>
      </c:layout>
      <c:doughnutChart>
        <c:varyColors val="1"/>
        <c:ser>
          <c:idx val="0"/>
          <c:order val="0"/>
          <c:tx>
            <c:strRef>
              <c:f>'Pivot Table'!$B$18</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EFE6-4A90-BF68-13A0A6468AD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FE6-4A90-BF68-13A0A6468AD4}"/>
              </c:ext>
            </c:extLst>
          </c:dPt>
          <c:dLbls>
            <c:dLbl>
              <c:idx val="0"/>
              <c:layout>
                <c:manualLayout>
                  <c:x val="0.10417013888888879"/>
                  <c:y val="0.18058094657729026"/>
                </c:manualLayout>
              </c:layout>
              <c:showLegendKey val="0"/>
              <c:showVal val="1"/>
              <c:showCatName val="0"/>
              <c:showSerName val="0"/>
              <c:showPercent val="1"/>
              <c:showBubbleSize val="0"/>
              <c:extLst>
                <c:ext xmlns:c15="http://schemas.microsoft.com/office/drawing/2012/chart" uri="{CE6537A1-D6FC-4f65-9D91-7224C49458BB}">
                  <c15:layout>
                    <c:manualLayout>
                      <c:w val="0.23992447916666668"/>
                      <c:h val="0.17374466788543572"/>
                    </c:manualLayout>
                  </c15:layout>
                </c:ext>
                <c:ext xmlns:c16="http://schemas.microsoft.com/office/drawing/2014/chart" uri="{C3380CC4-5D6E-409C-BE32-E72D297353CC}">
                  <c16:uniqueId val="{00000001-EFE6-4A90-BF68-13A0A6468AD4}"/>
                </c:ext>
              </c:extLst>
            </c:dLbl>
            <c:dLbl>
              <c:idx val="1"/>
              <c:layout>
                <c:manualLayout>
                  <c:x val="-5.5121527777777776E-2"/>
                  <c:y val="-0.1612327341052204"/>
                </c:manualLayout>
              </c:layout>
              <c:showLegendKey val="0"/>
              <c:showVal val="1"/>
              <c:showCatName val="0"/>
              <c:showSerName val="0"/>
              <c:showPercent val="1"/>
              <c:showBubbleSize val="0"/>
              <c:extLst>
                <c:ext xmlns:c15="http://schemas.microsoft.com/office/drawing/2012/chart" uri="{CE6537A1-D6FC-4f65-9D91-7224C49458BB}">
                  <c15:layout>
                    <c:manualLayout>
                      <c:w val="0.28296614583333335"/>
                      <c:h val="0.25094302254722728"/>
                    </c:manualLayout>
                  </c15:layout>
                </c:ext>
                <c:ext xmlns:c16="http://schemas.microsoft.com/office/drawing/2014/chart" uri="{C3380CC4-5D6E-409C-BE32-E72D297353CC}">
                  <c16:uniqueId val="{00000003-EFE6-4A90-BF68-13A0A6468AD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Table'!$A$19:$A$20</c:f>
              <c:strCache>
                <c:ptCount val="2"/>
                <c:pt idx="0">
                  <c:v>Low Fat</c:v>
                </c:pt>
                <c:pt idx="1">
                  <c:v>Regular</c:v>
                </c:pt>
              </c:strCache>
            </c:strRef>
          </c:cat>
          <c:val>
            <c:numRef>
              <c:f>'Pivot Table'!$B$19:$B$20</c:f>
              <c:numCache>
                <c:formatCode>"$"0.0,"K"</c:formatCode>
                <c:ptCount val="2"/>
                <c:pt idx="0">
                  <c:v>776319.68840000057</c:v>
                </c:pt>
                <c:pt idx="1">
                  <c:v>425361.8043999995</c:v>
                </c:pt>
              </c:numCache>
            </c:numRef>
          </c:val>
          <c:extLst>
            <c:ext xmlns:c16="http://schemas.microsoft.com/office/drawing/2014/chart" uri="{C3380CC4-5D6E-409C-BE32-E72D297353CC}">
              <c16:uniqueId val="{00000004-EFE6-4A90-BF68-13A0A6468AD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Table!PivotTable3</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9223254193511"/>
          <c:y val="0.22455105603937606"/>
          <c:w val="0.80871391880487509"/>
          <c:h val="0.70253225010895748"/>
        </c:manualLayout>
      </c:layout>
      <c:barChart>
        <c:barDir val="bar"/>
        <c:grouping val="clustered"/>
        <c:varyColors val="0"/>
        <c:ser>
          <c:idx val="0"/>
          <c:order val="0"/>
          <c:tx>
            <c:strRef>
              <c:f>'Pivot Table'!$B$32:$B$33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Table'!$A$34:$A$36</c:f>
              <c:strCache>
                <c:ptCount val="3"/>
                <c:pt idx="0">
                  <c:v>Tier 1</c:v>
                </c:pt>
                <c:pt idx="1">
                  <c:v>Tier 2</c:v>
                </c:pt>
                <c:pt idx="2">
                  <c:v>Tier 3</c:v>
                </c:pt>
              </c:strCache>
            </c:strRef>
          </c:cat>
          <c:val>
            <c:numRef>
              <c:f>'Pivot Table'!$B$34:$B$36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E48-47DC-ABC2-C45F94A023BB}"/>
            </c:ext>
          </c:extLst>
        </c:ser>
        <c:ser>
          <c:idx val="1"/>
          <c:order val="1"/>
          <c:tx>
            <c:strRef>
              <c:f>'Pivot Table'!$C$32:$C$33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Table'!$A$34:$A$36</c:f>
              <c:strCache>
                <c:ptCount val="3"/>
                <c:pt idx="0">
                  <c:v>Tier 1</c:v>
                </c:pt>
                <c:pt idx="1">
                  <c:v>Tier 2</c:v>
                </c:pt>
                <c:pt idx="2">
                  <c:v>Tier 3</c:v>
                </c:pt>
              </c:strCache>
            </c:strRef>
          </c:cat>
          <c:val>
            <c:numRef>
              <c:f>'Pivot Table'!$C$34:$C$36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E48-47DC-ABC2-C45F94A023BB}"/>
            </c:ext>
          </c:extLst>
        </c:ser>
        <c:dLbls>
          <c:showLegendKey val="0"/>
          <c:showVal val="0"/>
          <c:showCatName val="0"/>
          <c:showSerName val="0"/>
          <c:showPercent val="0"/>
          <c:showBubbleSize val="0"/>
        </c:dLbls>
        <c:gapWidth val="60"/>
        <c:axId val="1084085712"/>
        <c:axId val="1084081392"/>
      </c:barChart>
      <c:catAx>
        <c:axId val="108408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81392"/>
        <c:crosses val="autoZero"/>
        <c:auto val="1"/>
        <c:lblAlgn val="ctr"/>
        <c:lblOffset val="100"/>
        <c:noMultiLvlLbl val="0"/>
      </c:catAx>
      <c:valAx>
        <c:axId val="1084081392"/>
        <c:scaling>
          <c:orientation val="minMax"/>
        </c:scaling>
        <c:delete val="1"/>
        <c:axPos val="b"/>
        <c:numFmt formatCode="&quot;$&quot;0.0,&quot;K&quot;" sourceLinked="1"/>
        <c:majorTickMark val="none"/>
        <c:minorTickMark val="none"/>
        <c:tickLblPos val="nextTo"/>
        <c:crossAx val="1084085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Table'!$A$52:$A$67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Table'!$B$52:$B$67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6AA-4386-959C-A9BF85AED7EE}"/>
            </c:ext>
          </c:extLst>
        </c:ser>
        <c:dLbls>
          <c:dLblPos val="outEnd"/>
          <c:showLegendKey val="0"/>
          <c:showVal val="1"/>
          <c:showCatName val="0"/>
          <c:showSerName val="0"/>
          <c:showPercent val="0"/>
          <c:showBubbleSize val="0"/>
        </c:dLbls>
        <c:gapWidth val="50"/>
        <c:axId val="1076021200"/>
        <c:axId val="1076020240"/>
      </c:barChart>
      <c:catAx>
        <c:axId val="107602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76020240"/>
        <c:crosses val="autoZero"/>
        <c:auto val="1"/>
        <c:lblAlgn val="ctr"/>
        <c:lblOffset val="100"/>
        <c:noMultiLvlLbl val="0"/>
      </c:catAx>
      <c:valAx>
        <c:axId val="1076020240"/>
        <c:scaling>
          <c:orientation val="minMax"/>
        </c:scaling>
        <c:delete val="1"/>
        <c:axPos val="b"/>
        <c:numFmt formatCode="&quot;$&quot;0.0,&quot;K&quot;" sourceLinked="1"/>
        <c:majorTickMark val="none"/>
        <c:minorTickMark val="none"/>
        <c:tickLblPos val="nextTo"/>
        <c:crossAx val="107602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5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4.4920078514638024E-3"/>
              <c:y val="-0.22477876106194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6.9045661073250048E-3"/>
              <c:y val="-0.418338249754178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4.3171376456630148E-2"/>
              <c:y val="-0.34341199606686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4.4920078514638024E-3"/>
              <c:y val="-0.29970501474926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2.2460062249231591E-3"/>
              <c:y val="-0.424582104228121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1.3476037349538955E-2"/>
              <c:y val="-0.424582104228121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1.5722027480123388E-2"/>
              <c:y val="-0.39960668633235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1.3476023554391406E-2"/>
              <c:y val="-0.35589970501474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0"/>
              <c:y val="-0.39960668633235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Table'!$B$76</c:f>
              <c:strCache>
                <c:ptCount val="1"/>
                <c:pt idx="0">
                  <c:v>Total</c:v>
                </c:pt>
              </c:strCache>
            </c:strRef>
          </c:tx>
          <c:spPr>
            <a:solidFill>
              <a:srgbClr val="FFD200">
                <a:alpha val="75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59E5-4DDE-B25A-6FEF23524B46}"/>
              </c:ext>
            </c:extLst>
          </c:dPt>
          <c:dPt>
            <c:idx val="1"/>
            <c:bubble3D val="0"/>
            <c:extLst>
              <c:ext xmlns:c16="http://schemas.microsoft.com/office/drawing/2014/chart" uri="{C3380CC4-5D6E-409C-BE32-E72D297353CC}">
                <c16:uniqueId val="{00000002-59E5-4DDE-B25A-6FEF23524B46}"/>
              </c:ext>
            </c:extLst>
          </c:dPt>
          <c:dPt>
            <c:idx val="2"/>
            <c:bubble3D val="0"/>
            <c:extLst>
              <c:ext xmlns:c16="http://schemas.microsoft.com/office/drawing/2014/chart" uri="{C3380CC4-5D6E-409C-BE32-E72D297353CC}">
                <c16:uniqueId val="{00000003-59E5-4DDE-B25A-6FEF23524B46}"/>
              </c:ext>
            </c:extLst>
          </c:dPt>
          <c:dPt>
            <c:idx val="3"/>
            <c:bubble3D val="0"/>
            <c:extLst>
              <c:ext xmlns:c16="http://schemas.microsoft.com/office/drawing/2014/chart" uri="{C3380CC4-5D6E-409C-BE32-E72D297353CC}">
                <c16:uniqueId val="{00000004-59E5-4DDE-B25A-6FEF23524B46}"/>
              </c:ext>
            </c:extLst>
          </c:dPt>
          <c:dPt>
            <c:idx val="4"/>
            <c:bubble3D val="0"/>
            <c:extLst>
              <c:ext xmlns:c16="http://schemas.microsoft.com/office/drawing/2014/chart" uri="{C3380CC4-5D6E-409C-BE32-E72D297353CC}">
                <c16:uniqueId val="{00000005-59E5-4DDE-B25A-6FEF23524B46}"/>
              </c:ext>
            </c:extLst>
          </c:dPt>
          <c:dPt>
            <c:idx val="5"/>
            <c:bubble3D val="0"/>
            <c:extLst>
              <c:ext xmlns:c16="http://schemas.microsoft.com/office/drawing/2014/chart" uri="{C3380CC4-5D6E-409C-BE32-E72D297353CC}">
                <c16:uniqueId val="{00000006-59E5-4DDE-B25A-6FEF23524B46}"/>
              </c:ext>
            </c:extLst>
          </c:dPt>
          <c:dPt>
            <c:idx val="6"/>
            <c:bubble3D val="0"/>
            <c:extLst>
              <c:ext xmlns:c16="http://schemas.microsoft.com/office/drawing/2014/chart" uri="{C3380CC4-5D6E-409C-BE32-E72D297353CC}">
                <c16:uniqueId val="{00000007-59E5-4DDE-B25A-6FEF23524B46}"/>
              </c:ext>
            </c:extLst>
          </c:dPt>
          <c:dPt>
            <c:idx val="7"/>
            <c:bubble3D val="0"/>
            <c:extLst>
              <c:ext xmlns:c16="http://schemas.microsoft.com/office/drawing/2014/chart" uri="{C3380CC4-5D6E-409C-BE32-E72D297353CC}">
                <c16:uniqueId val="{00000008-59E5-4DDE-B25A-6FEF23524B46}"/>
              </c:ext>
            </c:extLst>
          </c:dPt>
          <c:dPt>
            <c:idx val="8"/>
            <c:bubble3D val="0"/>
            <c:extLst>
              <c:ext xmlns:c16="http://schemas.microsoft.com/office/drawing/2014/chart" uri="{C3380CC4-5D6E-409C-BE32-E72D297353CC}">
                <c16:uniqueId val="{00000009-59E5-4DDE-B25A-6FEF23524B46}"/>
              </c:ext>
            </c:extLst>
          </c:dPt>
          <c:dLbls>
            <c:dLbl>
              <c:idx val="0"/>
              <c:layout>
                <c:manualLayout>
                  <c:x val="4.4920078514638024E-3"/>
                  <c:y val="-0.224778761061946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E5-4DDE-B25A-6FEF23524B46}"/>
                </c:ext>
              </c:extLst>
            </c:dLbl>
            <c:dLbl>
              <c:idx val="1"/>
              <c:layout>
                <c:manualLayout>
                  <c:x val="-6.9045661073250048E-3"/>
                  <c:y val="-0.418338249754178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E5-4DDE-B25A-6FEF23524B46}"/>
                </c:ext>
              </c:extLst>
            </c:dLbl>
            <c:dLbl>
              <c:idx val="2"/>
              <c:layout>
                <c:manualLayout>
                  <c:x val="-4.3171376456630148E-2"/>
                  <c:y val="-0.34341199606686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E5-4DDE-B25A-6FEF23524B46}"/>
                </c:ext>
              </c:extLst>
            </c:dLbl>
            <c:dLbl>
              <c:idx val="3"/>
              <c:layout>
                <c:manualLayout>
                  <c:x val="-4.4920078514638024E-3"/>
                  <c:y val="-0.299705014749262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E5-4DDE-B25A-6FEF23524B46}"/>
                </c:ext>
              </c:extLst>
            </c:dLbl>
            <c:dLbl>
              <c:idx val="4"/>
              <c:layout>
                <c:manualLayout>
                  <c:x val="-2.2460062249231591E-3"/>
                  <c:y val="-0.424582104228121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E5-4DDE-B25A-6FEF23524B46}"/>
                </c:ext>
              </c:extLst>
            </c:dLbl>
            <c:dLbl>
              <c:idx val="5"/>
              <c:layout>
                <c:manualLayout>
                  <c:x val="-1.3476037349538955E-2"/>
                  <c:y val="-0.424582104228121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9E5-4DDE-B25A-6FEF23524B46}"/>
                </c:ext>
              </c:extLst>
            </c:dLbl>
            <c:dLbl>
              <c:idx val="6"/>
              <c:layout>
                <c:manualLayout>
                  <c:x val="-1.5722027480123388E-2"/>
                  <c:y val="-0.39960668633235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E5-4DDE-B25A-6FEF23524B46}"/>
                </c:ext>
              </c:extLst>
            </c:dLbl>
            <c:dLbl>
              <c:idx val="7"/>
              <c:layout>
                <c:manualLayout>
                  <c:x val="1.3476023554391406E-2"/>
                  <c:y val="-0.35589970501474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9E5-4DDE-B25A-6FEF23524B46}"/>
                </c:ext>
              </c:extLst>
            </c:dLbl>
            <c:dLbl>
              <c:idx val="8"/>
              <c:layout>
                <c:manualLayout>
                  <c:x val="0"/>
                  <c:y val="-0.39960668633235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9E5-4DDE-B25A-6FEF23524B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Table'!$A$77:$A$85</c:f>
              <c:strCache>
                <c:ptCount val="9"/>
                <c:pt idx="0">
                  <c:v>2011</c:v>
                </c:pt>
                <c:pt idx="1">
                  <c:v>2012</c:v>
                </c:pt>
                <c:pt idx="2">
                  <c:v>2014</c:v>
                </c:pt>
                <c:pt idx="3">
                  <c:v>2015</c:v>
                </c:pt>
                <c:pt idx="4">
                  <c:v>2016</c:v>
                </c:pt>
                <c:pt idx="5">
                  <c:v>2017</c:v>
                </c:pt>
                <c:pt idx="6">
                  <c:v>2018</c:v>
                </c:pt>
                <c:pt idx="7">
                  <c:v>2020</c:v>
                </c:pt>
                <c:pt idx="8">
                  <c:v>2022</c:v>
                </c:pt>
              </c:strCache>
            </c:strRef>
          </c:cat>
          <c:val>
            <c:numRef>
              <c:f>'Pivot Table'!$B$77:$B$85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9E5-4DDE-B25A-6FEF23524B46}"/>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1084106832"/>
        <c:axId val="1084104432"/>
      </c:areaChart>
      <c:catAx>
        <c:axId val="108410683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084104432"/>
        <c:crosses val="autoZero"/>
        <c:auto val="1"/>
        <c:lblAlgn val="ctr"/>
        <c:lblOffset val="100"/>
        <c:noMultiLvlLbl val="0"/>
      </c:catAx>
      <c:valAx>
        <c:axId val="1084104432"/>
        <c:scaling>
          <c:orientation val="minMax"/>
        </c:scaling>
        <c:delete val="1"/>
        <c:axPos val="l"/>
        <c:numFmt formatCode="&quot;$&quot;0.0,&quot;K&quot;" sourceLinked="1"/>
        <c:majorTickMark val="out"/>
        <c:minorTickMark val="none"/>
        <c:tickLblPos val="nextTo"/>
        <c:crossAx val="10841068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Table!PivotTable6</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679012345679014"/>
              <c:y val="-5.079999999999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979665940450254"/>
              <c:y val="-3.386666666666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7.8395061728395068E-2"/>
              <c:y val="-0.169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4.6114742193173568E-3"/>
              <c:y val="-0.124177777777777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337835875090778"/>
          <c:y val="0.13839155555555552"/>
          <c:w val="0.71479738562091499"/>
          <c:h val="0.8616084444444444"/>
        </c:manualLayout>
      </c:layout>
      <c:doughnutChart>
        <c:varyColors val="1"/>
        <c:ser>
          <c:idx val="0"/>
          <c:order val="0"/>
          <c:tx>
            <c:strRef>
              <c:f>'Pivot Table'!$B$96</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371-4981-AA0C-71519CE9BE3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371-4981-AA0C-71519CE9BE35}"/>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5371-4981-AA0C-71519CE9BE35}"/>
              </c:ext>
            </c:extLst>
          </c:dPt>
          <c:dLbls>
            <c:dLbl>
              <c:idx val="0"/>
              <c:layout>
                <c:manualLayout>
                  <c:x val="0.15679012345679014"/>
                  <c:y val="-5.07999999999999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71-4981-AA0C-71519CE9BE35}"/>
                </c:ext>
              </c:extLst>
            </c:dLbl>
            <c:dLbl>
              <c:idx val="1"/>
              <c:layout>
                <c:manualLayout>
                  <c:x val="0.23979665940450254"/>
                  <c:y val="-3.38666666666666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371-4981-AA0C-71519CE9BE35}"/>
                </c:ext>
              </c:extLst>
            </c:dLbl>
            <c:dLbl>
              <c:idx val="2"/>
              <c:layout>
                <c:manualLayout>
                  <c:x val="-7.8395061728395068E-2"/>
                  <c:y val="-0.1693333333333333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71-4981-AA0C-71519CE9BE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Table'!$A$97:$A$99</c:f>
              <c:strCache>
                <c:ptCount val="3"/>
                <c:pt idx="0">
                  <c:v>High</c:v>
                </c:pt>
                <c:pt idx="1">
                  <c:v>Medium</c:v>
                </c:pt>
                <c:pt idx="2">
                  <c:v>Small</c:v>
                </c:pt>
              </c:strCache>
            </c:strRef>
          </c:cat>
          <c:val>
            <c:numRef>
              <c:f>'Pivot Table'!$B$97:$B$99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371-4981-AA0C-71519CE9BE35}"/>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Table'!$A$143:$A$146</c:f>
              <c:strCache>
                <c:ptCount val="4"/>
                <c:pt idx="0">
                  <c:v>Grocery Store</c:v>
                </c:pt>
                <c:pt idx="1">
                  <c:v>Supermarket Type1</c:v>
                </c:pt>
                <c:pt idx="2">
                  <c:v>Supermarket Type2</c:v>
                </c:pt>
                <c:pt idx="3">
                  <c:v>Supermarket Type3</c:v>
                </c:pt>
              </c:strCache>
            </c:strRef>
          </c:cat>
          <c:val>
            <c:numRef>
              <c:f>'Pivot Table'!$B$143:$B$146</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3496-422A-B5D1-9E79CF2A069A}"/>
            </c:ext>
          </c:extLst>
        </c:ser>
        <c:dLbls>
          <c:dLblPos val="outEnd"/>
          <c:showLegendKey val="0"/>
          <c:showVal val="1"/>
          <c:showCatName val="0"/>
          <c:showSerName val="0"/>
          <c:showPercent val="0"/>
          <c:showBubbleSize val="0"/>
        </c:dLbls>
        <c:gapWidth val="60"/>
        <c:axId val="1294566064"/>
        <c:axId val="1294565584"/>
      </c:barChart>
      <c:catAx>
        <c:axId val="129456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294565584"/>
        <c:crosses val="autoZero"/>
        <c:auto val="1"/>
        <c:lblAlgn val="ctr"/>
        <c:lblOffset val="100"/>
        <c:noMultiLvlLbl val="0"/>
      </c:catAx>
      <c:valAx>
        <c:axId val="1294565584"/>
        <c:scaling>
          <c:orientation val="minMax"/>
        </c:scaling>
        <c:delete val="1"/>
        <c:axPos val="b"/>
        <c:numFmt formatCode="&quot;$&quot;0.0,&quot;K&quot;" sourceLinked="1"/>
        <c:majorTickMark val="none"/>
        <c:minorTickMark val="none"/>
        <c:tickLblPos val="nextTo"/>
        <c:crossAx val="129456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Table'!$A$157:$A$160</c:f>
              <c:strCache>
                <c:ptCount val="4"/>
                <c:pt idx="0">
                  <c:v>Grocery Store</c:v>
                </c:pt>
                <c:pt idx="1">
                  <c:v>Supermarket Type1</c:v>
                </c:pt>
                <c:pt idx="2">
                  <c:v>Supermarket Type2</c:v>
                </c:pt>
                <c:pt idx="3">
                  <c:v>Supermarket Type3</c:v>
                </c:pt>
              </c:strCache>
            </c:strRef>
          </c:cat>
          <c:val>
            <c:numRef>
              <c:f>'Pivot Table'!$B$157:$B$160</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67A2-4B5B-B597-32C24E0FC273}"/>
            </c:ext>
          </c:extLst>
        </c:ser>
        <c:dLbls>
          <c:dLblPos val="outEnd"/>
          <c:showLegendKey val="0"/>
          <c:showVal val="1"/>
          <c:showCatName val="0"/>
          <c:showSerName val="0"/>
          <c:showPercent val="0"/>
          <c:showBubbleSize val="0"/>
        </c:dLbls>
        <c:gapWidth val="60"/>
        <c:axId val="1309320352"/>
        <c:axId val="1309324192"/>
      </c:barChart>
      <c:catAx>
        <c:axId val="1309320352"/>
        <c:scaling>
          <c:orientation val="minMax"/>
        </c:scaling>
        <c:delete val="1"/>
        <c:axPos val="l"/>
        <c:numFmt formatCode="General" sourceLinked="1"/>
        <c:majorTickMark val="none"/>
        <c:minorTickMark val="none"/>
        <c:tickLblPos val="nextTo"/>
        <c:crossAx val="1309324192"/>
        <c:crosses val="autoZero"/>
        <c:auto val="1"/>
        <c:lblAlgn val="ctr"/>
        <c:lblOffset val="100"/>
        <c:noMultiLvlLbl val="0"/>
      </c:catAx>
      <c:valAx>
        <c:axId val="1309324192"/>
        <c:scaling>
          <c:orientation val="minMax"/>
        </c:scaling>
        <c:delete val="1"/>
        <c:axPos val="b"/>
        <c:numFmt formatCode="&quot;$&quot;0" sourceLinked="1"/>
        <c:majorTickMark val="none"/>
        <c:minorTickMark val="none"/>
        <c:tickLblPos val="nextTo"/>
        <c:crossAx val="13093203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Excel_DHRUV RAPARIYA.xlsx]Pivot Table!PivotTable10</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Table'!$A$174:$A$177</c:f>
              <c:strCache>
                <c:ptCount val="4"/>
                <c:pt idx="0">
                  <c:v>Grocery Store</c:v>
                </c:pt>
                <c:pt idx="1">
                  <c:v>Supermarket Type1</c:v>
                </c:pt>
                <c:pt idx="2">
                  <c:v>Supermarket Type2</c:v>
                </c:pt>
                <c:pt idx="3">
                  <c:v>Supermarket Type3</c:v>
                </c:pt>
              </c:strCache>
            </c:strRef>
          </c:cat>
          <c:val>
            <c:numRef>
              <c:f>'Pivot Table'!$B$174:$B$177</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0EE1-4BF6-9CAE-75E6AC38C681}"/>
            </c:ext>
          </c:extLst>
        </c:ser>
        <c:dLbls>
          <c:dLblPos val="outEnd"/>
          <c:showLegendKey val="0"/>
          <c:showVal val="1"/>
          <c:showCatName val="0"/>
          <c:showSerName val="0"/>
          <c:showPercent val="0"/>
          <c:showBubbleSize val="0"/>
        </c:dLbls>
        <c:gapWidth val="60"/>
        <c:axId val="1186049440"/>
        <c:axId val="1186048480"/>
      </c:barChart>
      <c:catAx>
        <c:axId val="1186049440"/>
        <c:scaling>
          <c:orientation val="minMax"/>
        </c:scaling>
        <c:delete val="1"/>
        <c:axPos val="l"/>
        <c:numFmt formatCode="General" sourceLinked="1"/>
        <c:majorTickMark val="none"/>
        <c:minorTickMark val="none"/>
        <c:tickLblPos val="nextTo"/>
        <c:crossAx val="1186048480"/>
        <c:crosses val="autoZero"/>
        <c:auto val="1"/>
        <c:lblAlgn val="ctr"/>
        <c:lblOffset val="100"/>
        <c:noMultiLvlLbl val="0"/>
      </c:catAx>
      <c:valAx>
        <c:axId val="1186048480"/>
        <c:scaling>
          <c:orientation val="minMax"/>
        </c:scaling>
        <c:delete val="1"/>
        <c:axPos val="b"/>
        <c:numFmt formatCode="General" sourceLinked="1"/>
        <c:majorTickMark val="none"/>
        <c:minorTickMark val="none"/>
        <c:tickLblPos val="nextTo"/>
        <c:crossAx val="118604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B5E9FE4-FF39-4AC3-AB4B-6F5B1D2D6A30}">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B5E9FE4-FF39-4AC3-AB4B-6F5B1D2D6A30}">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t Table'!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472440</xdr:colOff>
      <xdr:row>1</xdr:row>
      <xdr:rowOff>22861</xdr:rowOff>
    </xdr:from>
    <xdr:to>
      <xdr:col>8</xdr:col>
      <xdr:colOff>289560</xdr:colOff>
      <xdr:row>8</xdr:row>
      <xdr:rowOff>99061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B742CC8-C4FF-2ECA-2786-8808B6FE58D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383383" y="229690"/>
              <a:ext cx="1841863" cy="1480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491490</xdr:colOff>
      <xdr:row>15</xdr:row>
      <xdr:rowOff>186690</xdr:rowOff>
    </xdr:from>
    <xdr:to>
      <xdr:col>4</xdr:col>
      <xdr:colOff>411480</xdr:colOff>
      <xdr:row>25</xdr:row>
      <xdr:rowOff>53340</xdr:rowOff>
    </xdr:to>
    <xdr:graphicFrame macro="">
      <xdr:nvGraphicFramePr>
        <xdr:cNvPr id="3" name="Chart 2">
          <a:extLst>
            <a:ext uri="{FF2B5EF4-FFF2-40B4-BE49-F238E27FC236}">
              <a16:creationId xmlns:a16="http://schemas.microsoft.com/office/drawing/2014/main" id="{F9D9D4E0-7F52-707F-04EA-096311614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65314</xdr:colOff>
      <xdr:row>30</xdr:row>
      <xdr:rowOff>163285</xdr:rowOff>
    </xdr:from>
    <xdr:to>
      <xdr:col>7</xdr:col>
      <xdr:colOff>141515</xdr:colOff>
      <xdr:row>44</xdr:row>
      <xdr:rowOff>108857</xdr:rowOff>
    </xdr:to>
    <xdr:graphicFrame macro="">
      <xdr:nvGraphicFramePr>
        <xdr:cNvPr id="4" name="Chart 3">
          <a:extLst>
            <a:ext uri="{FF2B5EF4-FFF2-40B4-BE49-F238E27FC236}">
              <a16:creationId xmlns:a16="http://schemas.microsoft.com/office/drawing/2014/main" id="{7B2A1C6E-C5E9-4FE8-B50B-80052A283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10887</xdr:colOff>
      <xdr:row>50</xdr:row>
      <xdr:rowOff>97971</xdr:rowOff>
    </xdr:from>
    <xdr:to>
      <xdr:col>8</xdr:col>
      <xdr:colOff>522515</xdr:colOff>
      <xdr:row>64</xdr:row>
      <xdr:rowOff>87085</xdr:rowOff>
    </xdr:to>
    <xdr:graphicFrame macro="">
      <xdr:nvGraphicFramePr>
        <xdr:cNvPr id="5" name="Chart 4">
          <a:extLst>
            <a:ext uri="{FF2B5EF4-FFF2-40B4-BE49-F238E27FC236}">
              <a16:creationId xmlns:a16="http://schemas.microsoft.com/office/drawing/2014/main" id="{A11D8942-362D-FA20-B188-56BDFF1F2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185058</xdr:colOff>
      <xdr:row>74</xdr:row>
      <xdr:rowOff>152401</xdr:rowOff>
    </xdr:from>
    <xdr:to>
      <xdr:col>8</xdr:col>
      <xdr:colOff>315686</xdr:colOff>
      <xdr:row>88</xdr:row>
      <xdr:rowOff>108858</xdr:rowOff>
    </xdr:to>
    <xdr:graphicFrame macro="">
      <xdr:nvGraphicFramePr>
        <xdr:cNvPr id="6" name="Chart 5">
          <a:extLst>
            <a:ext uri="{FF2B5EF4-FFF2-40B4-BE49-F238E27FC236}">
              <a16:creationId xmlns:a16="http://schemas.microsoft.com/office/drawing/2014/main" id="{35430AB3-F6C3-6D21-33A4-295CBAF05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108858</xdr:colOff>
      <xdr:row>94</xdr:row>
      <xdr:rowOff>119744</xdr:rowOff>
    </xdr:from>
    <xdr:to>
      <xdr:col>8</xdr:col>
      <xdr:colOff>239486</xdr:colOff>
      <xdr:row>108</xdr:row>
      <xdr:rowOff>21773</xdr:rowOff>
    </xdr:to>
    <xdr:graphicFrame macro="">
      <xdr:nvGraphicFramePr>
        <xdr:cNvPr id="7" name="Chart 6">
          <a:extLst>
            <a:ext uri="{FF2B5EF4-FFF2-40B4-BE49-F238E27FC236}">
              <a16:creationId xmlns:a16="http://schemas.microsoft.com/office/drawing/2014/main" id="{6BAD57C7-8318-81A1-7E4F-9ABEFECA1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642258</xdr:colOff>
      <xdr:row>119</xdr:row>
      <xdr:rowOff>10885</xdr:rowOff>
    </xdr:from>
    <xdr:to>
      <xdr:col>5</xdr:col>
      <xdr:colOff>337458</xdr:colOff>
      <xdr:row>132</xdr:row>
      <xdr:rowOff>174171</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46BC01F7-3A74-C4FA-C36E-123D4155CD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2258" y="23861485"/>
              <a:ext cx="5128260" cy="27388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54429</xdr:colOff>
      <xdr:row>139</xdr:row>
      <xdr:rowOff>119743</xdr:rowOff>
    </xdr:from>
    <xdr:to>
      <xdr:col>8</xdr:col>
      <xdr:colOff>185057</xdr:colOff>
      <xdr:row>153</xdr:row>
      <xdr:rowOff>54428</xdr:rowOff>
    </xdr:to>
    <xdr:graphicFrame macro="">
      <xdr:nvGraphicFramePr>
        <xdr:cNvPr id="9" name="Chart 8">
          <a:extLst>
            <a:ext uri="{FF2B5EF4-FFF2-40B4-BE49-F238E27FC236}">
              <a16:creationId xmlns:a16="http://schemas.microsoft.com/office/drawing/2014/main" id="{7E1D4437-E9FF-EB2B-2575-A88A86765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87085</xdr:colOff>
      <xdr:row>154</xdr:row>
      <xdr:rowOff>54429</xdr:rowOff>
    </xdr:from>
    <xdr:to>
      <xdr:col>8</xdr:col>
      <xdr:colOff>217714</xdr:colOff>
      <xdr:row>168</xdr:row>
      <xdr:rowOff>0</xdr:rowOff>
    </xdr:to>
    <xdr:graphicFrame macro="">
      <xdr:nvGraphicFramePr>
        <xdr:cNvPr id="10" name="Chart 9">
          <a:extLst>
            <a:ext uri="{FF2B5EF4-FFF2-40B4-BE49-F238E27FC236}">
              <a16:creationId xmlns:a16="http://schemas.microsoft.com/office/drawing/2014/main" id="{7D08A6F9-A83D-A115-31D2-5AF5761F2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xdr:colOff>
      <xdr:row>168</xdr:row>
      <xdr:rowOff>152400</xdr:rowOff>
    </xdr:from>
    <xdr:to>
      <xdr:col>8</xdr:col>
      <xdr:colOff>130629</xdr:colOff>
      <xdr:row>182</xdr:row>
      <xdr:rowOff>119743</xdr:rowOff>
    </xdr:to>
    <xdr:graphicFrame macro="">
      <xdr:nvGraphicFramePr>
        <xdr:cNvPr id="11" name="Chart 10">
          <a:extLst>
            <a:ext uri="{FF2B5EF4-FFF2-40B4-BE49-F238E27FC236}">
              <a16:creationId xmlns:a16="http://schemas.microsoft.com/office/drawing/2014/main" id="{005DE4A8-C852-A0F9-0C64-7E16F63A1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306978</xdr:colOff>
      <xdr:row>11</xdr:row>
      <xdr:rowOff>149134</xdr:rowOff>
    </xdr:from>
    <xdr:to>
      <xdr:col>10</xdr:col>
      <xdr:colOff>111035</xdr:colOff>
      <xdr:row>25</xdr:row>
      <xdr:rowOff>57966</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B9833210-FFEA-B975-F067-FCEE4DB8EC0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099664" y="2358934"/>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112122</xdr:colOff>
      <xdr:row>8</xdr:row>
      <xdr:rowOff>63137</xdr:rowOff>
    </xdr:from>
    <xdr:to>
      <xdr:col>14</xdr:col>
      <xdr:colOff>591094</xdr:colOff>
      <xdr:row>21</xdr:row>
      <xdr:rowOff>157027</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0AB12E01-8A78-59D0-F8B1-25B4BB9421F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279379" y="167422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472438</xdr:colOff>
      <xdr:row>1</xdr:row>
      <xdr:rowOff>7618</xdr:rowOff>
    </xdr:from>
    <xdr:to>
      <xdr:col>24</xdr:col>
      <xdr:colOff>43543</xdr:colOff>
      <xdr:row>41</xdr:row>
      <xdr:rowOff>65313</xdr:rowOff>
    </xdr:to>
    <xdr:sp macro="" textlink="">
      <xdr:nvSpPr>
        <xdr:cNvPr id="2" name="Rectangle 1">
          <a:extLst>
            <a:ext uri="{FF2B5EF4-FFF2-40B4-BE49-F238E27FC236}">
              <a16:creationId xmlns:a16="http://schemas.microsoft.com/office/drawing/2014/main" id="{E1699A0C-79D5-F8B5-64A5-4D9769A53F2A}"/>
            </a:ext>
          </a:extLst>
        </xdr:cNvPr>
        <xdr:cNvSpPr/>
      </xdr:nvSpPr>
      <xdr:spPr>
        <a:xfrm>
          <a:off x="1147352" y="203561"/>
          <a:ext cx="15094134" cy="7895409"/>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114739</xdr:colOff>
      <xdr:row>1</xdr:row>
      <xdr:rowOff>116774</xdr:rowOff>
    </xdr:from>
    <xdr:to>
      <xdr:col>5</xdr:col>
      <xdr:colOff>285997</xdr:colOff>
      <xdr:row>40</xdr:row>
      <xdr:rowOff>141515</xdr:rowOff>
    </xdr:to>
    <xdr:sp macro="" textlink="">
      <xdr:nvSpPr>
        <xdr:cNvPr id="4" name="Rectangle: Top Corners Rounded 3">
          <a:extLst>
            <a:ext uri="{FF2B5EF4-FFF2-40B4-BE49-F238E27FC236}">
              <a16:creationId xmlns:a16="http://schemas.microsoft.com/office/drawing/2014/main" id="{FDC7A591-89C5-EE20-6388-AB77D658654F}"/>
            </a:ext>
          </a:extLst>
        </xdr:cNvPr>
        <xdr:cNvSpPr/>
      </xdr:nvSpPr>
      <xdr:spPr>
        <a:xfrm rot="5400000">
          <a:off x="-1270688" y="3047973"/>
          <a:ext cx="7666512" cy="2196000"/>
        </a:xfrm>
        <a:prstGeom prst="round2SameRect">
          <a:avLst>
            <a:gd name="adj1" fmla="val 12113"/>
            <a:gd name="adj2" fmla="val 0"/>
          </a:avLst>
        </a:prstGeom>
        <a:solidFill>
          <a:srgbClr val="FFD200">
            <a:alpha val="9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204849</xdr:colOff>
      <xdr:row>1</xdr:row>
      <xdr:rowOff>135578</xdr:rowOff>
    </xdr:from>
    <xdr:to>
      <xdr:col>5</xdr:col>
      <xdr:colOff>204849</xdr:colOff>
      <xdr:row>4</xdr:row>
      <xdr:rowOff>135579</xdr:rowOff>
    </xdr:to>
    <xdr:sp macro="" textlink="">
      <xdr:nvSpPr>
        <xdr:cNvPr id="5" name="TextBox 4">
          <a:extLst>
            <a:ext uri="{FF2B5EF4-FFF2-40B4-BE49-F238E27FC236}">
              <a16:creationId xmlns:a16="http://schemas.microsoft.com/office/drawing/2014/main" id="{2BAC6CB1-7C13-CA87-56AC-AA9862654B67}"/>
            </a:ext>
          </a:extLst>
        </xdr:cNvPr>
        <xdr:cNvSpPr txBox="1"/>
      </xdr:nvSpPr>
      <xdr:spPr>
        <a:xfrm>
          <a:off x="1554678" y="331521"/>
          <a:ext cx="2024742" cy="58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227608</xdr:colOff>
      <xdr:row>4</xdr:row>
      <xdr:rowOff>51460</xdr:rowOff>
    </xdr:from>
    <xdr:to>
      <xdr:col>5</xdr:col>
      <xdr:colOff>227608</xdr:colOff>
      <xdr:row>5</xdr:row>
      <xdr:rowOff>75209</xdr:rowOff>
    </xdr:to>
    <xdr:sp macro="" textlink="">
      <xdr:nvSpPr>
        <xdr:cNvPr id="6" name="TextBox 5">
          <a:extLst>
            <a:ext uri="{FF2B5EF4-FFF2-40B4-BE49-F238E27FC236}">
              <a16:creationId xmlns:a16="http://schemas.microsoft.com/office/drawing/2014/main" id="{CE480E95-A220-4DC6-812E-BB83D9E745F6}"/>
            </a:ext>
          </a:extLst>
        </xdr:cNvPr>
        <xdr:cNvSpPr txBox="1"/>
      </xdr:nvSpPr>
      <xdr:spPr>
        <a:xfrm>
          <a:off x="1577437" y="835231"/>
          <a:ext cx="2024742" cy="21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ysClr val="windowText" lastClr="000000"/>
              </a:solidFill>
              <a:latin typeface="Aptos Display" panose="020B0004020202020204" pitchFamily="34" charset="0"/>
              <a:ea typeface="Segoe UI Black" panose="020B0A02040204020203" pitchFamily="34" charset="0"/>
            </a:rPr>
            <a:t>India's</a:t>
          </a:r>
          <a:r>
            <a:rPr lang="en-IN" sz="1200" b="1" baseline="0">
              <a:solidFill>
                <a:sysClr val="windowText" lastClr="000000"/>
              </a:solidFill>
              <a:latin typeface="Aptos Display" panose="020B0004020202020204" pitchFamily="34" charset="0"/>
              <a:ea typeface="Segoe UI Black" panose="020B0A02040204020203" pitchFamily="34" charset="0"/>
            </a:rPr>
            <a:t> </a:t>
          </a:r>
          <a:r>
            <a:rPr lang="en-IN" sz="1400" b="1" baseline="0">
              <a:solidFill>
                <a:sysClr val="windowText" lastClr="000000"/>
              </a:solidFill>
              <a:latin typeface="Aptos Display" panose="020B0004020202020204" pitchFamily="34" charset="0"/>
              <a:ea typeface="Segoe UI Black" panose="020B0A02040204020203" pitchFamily="34" charset="0"/>
            </a:rPr>
            <a:t>Last</a:t>
          </a:r>
          <a:r>
            <a:rPr lang="en-IN" sz="1200" b="1" baseline="0">
              <a:solidFill>
                <a:sysClr val="windowText" lastClr="000000"/>
              </a:solidFill>
              <a:latin typeface="Aptos Display" panose="020B0004020202020204" pitchFamily="34" charset="0"/>
              <a:ea typeface="Segoe UI Black" panose="020B0A02040204020203" pitchFamily="34" charset="0"/>
            </a:rPr>
            <a:t> Minute App</a:t>
          </a:r>
          <a:endParaRPr lang="en-IN" sz="1200" b="1">
            <a:solidFill>
              <a:sysClr val="windowText" lastClr="000000"/>
            </a:solidFill>
            <a:latin typeface="Aptos Display" panose="020B0004020202020204" pitchFamily="34" charset="0"/>
            <a:ea typeface="Segoe UI Black" panose="020B0A02040204020203" pitchFamily="34" charset="0"/>
          </a:endParaRPr>
        </a:p>
      </xdr:txBody>
    </xdr:sp>
    <xdr:clientData/>
  </xdr:twoCellAnchor>
  <xdr:twoCellAnchor>
    <xdr:from>
      <xdr:col>5</xdr:col>
      <xdr:colOff>615686</xdr:colOff>
      <xdr:row>1</xdr:row>
      <xdr:rowOff>157350</xdr:rowOff>
    </xdr:from>
    <xdr:to>
      <xdr:col>14</xdr:col>
      <xdr:colOff>201112</xdr:colOff>
      <xdr:row>13</xdr:row>
      <xdr:rowOff>101039</xdr:rowOff>
    </xdr:to>
    <xdr:grpSp>
      <xdr:nvGrpSpPr>
        <xdr:cNvPr id="12" name="Group 11">
          <a:extLst>
            <a:ext uri="{FF2B5EF4-FFF2-40B4-BE49-F238E27FC236}">
              <a16:creationId xmlns:a16="http://schemas.microsoft.com/office/drawing/2014/main" id="{E3ADBB94-CAFE-C5EE-CFFB-2AD24A6ABF3B}"/>
            </a:ext>
          </a:extLst>
        </xdr:cNvPr>
        <xdr:cNvGrpSpPr/>
      </xdr:nvGrpSpPr>
      <xdr:grpSpPr>
        <a:xfrm>
          <a:off x="3955960" y="355679"/>
          <a:ext cx="5597919" cy="2323634"/>
          <a:chOff x="3990257" y="353293"/>
          <a:chExt cx="5659655" cy="2295003"/>
        </a:xfrm>
      </xdr:grpSpPr>
      <xdr:sp macro="" textlink="">
        <xdr:nvSpPr>
          <xdr:cNvPr id="7" name="Rectangle: Rounded Corners 6">
            <a:extLst>
              <a:ext uri="{FF2B5EF4-FFF2-40B4-BE49-F238E27FC236}">
                <a16:creationId xmlns:a16="http://schemas.microsoft.com/office/drawing/2014/main" id="{CA03452D-906F-5730-FF1C-0BE1B8255171}"/>
              </a:ext>
            </a:extLst>
          </xdr:cNvPr>
          <xdr:cNvSpPr/>
        </xdr:nvSpPr>
        <xdr:spPr>
          <a:xfrm>
            <a:off x="3990257" y="353293"/>
            <a:ext cx="2743916" cy="1037703"/>
          </a:xfrm>
          <a:prstGeom prst="roundRect">
            <a:avLst>
              <a:gd name="adj" fmla="val 10373"/>
            </a:avLst>
          </a:prstGeom>
          <a:gradFill>
            <a:gsLst>
              <a:gs pos="0">
                <a:srgbClr val="FFD200">
                  <a:alpha val="60000"/>
                </a:srgbClr>
              </a:gs>
              <a:gs pos="34000">
                <a:schemeClr val="accent6">
                  <a:lumMod val="75000"/>
                  <a:alpha val="45000"/>
                </a:schemeClr>
              </a:gs>
              <a:gs pos="84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AAEE381-2673-1779-56B5-239AF485EA17}"/>
              </a:ext>
            </a:extLst>
          </xdr:cNvPr>
          <xdr:cNvSpPr/>
        </xdr:nvSpPr>
        <xdr:spPr>
          <a:xfrm>
            <a:off x="6905996" y="353293"/>
            <a:ext cx="2743916" cy="1037703"/>
          </a:xfrm>
          <a:prstGeom prst="roundRect">
            <a:avLst>
              <a:gd name="adj" fmla="val 114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8F0866BF-E2E8-4F36-B37F-DE4939F7A547}"/>
              </a:ext>
            </a:extLst>
          </xdr:cNvPr>
          <xdr:cNvSpPr/>
        </xdr:nvSpPr>
        <xdr:spPr>
          <a:xfrm>
            <a:off x="3994067" y="1610593"/>
            <a:ext cx="2736296" cy="1037703"/>
          </a:xfrm>
          <a:prstGeom prst="roundRect">
            <a:avLst>
              <a:gd name="adj" fmla="val 1037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97258A0C-97DF-963E-3559-0C1E0B042ABA}"/>
              </a:ext>
            </a:extLst>
          </xdr:cNvPr>
          <xdr:cNvSpPr/>
        </xdr:nvSpPr>
        <xdr:spPr>
          <a:xfrm>
            <a:off x="6905996" y="1610593"/>
            <a:ext cx="2743916" cy="1037703"/>
          </a:xfrm>
          <a:prstGeom prst="roundRect">
            <a:avLst>
              <a:gd name="adj" fmla="val 1037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195942</xdr:colOff>
      <xdr:row>2</xdr:row>
      <xdr:rowOff>97972</xdr:rowOff>
    </xdr:from>
    <xdr:to>
      <xdr:col>8</xdr:col>
      <xdr:colOff>195943</xdr:colOff>
      <xdr:row>4</xdr:row>
      <xdr:rowOff>119744</xdr:rowOff>
    </xdr:to>
    <xdr:sp macro="" textlink="'Pivot Table'!A8">
      <xdr:nvSpPr>
        <xdr:cNvPr id="13" name="TextBox 12">
          <a:extLst>
            <a:ext uri="{FF2B5EF4-FFF2-40B4-BE49-F238E27FC236}">
              <a16:creationId xmlns:a16="http://schemas.microsoft.com/office/drawing/2014/main" id="{F8BB8948-4387-A94E-6C51-CE09E59BE837}"/>
            </a:ext>
          </a:extLst>
        </xdr:cNvPr>
        <xdr:cNvSpPr txBox="1"/>
      </xdr:nvSpPr>
      <xdr:spPr>
        <a:xfrm>
          <a:off x="4245428" y="489858"/>
          <a:ext cx="1349829"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26F54E-54B7-429C-8E64-38F198AB6CA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226200</xdr:colOff>
      <xdr:row>4</xdr:row>
      <xdr:rowOff>76200</xdr:rowOff>
    </xdr:from>
    <xdr:to>
      <xdr:col>8</xdr:col>
      <xdr:colOff>226201</xdr:colOff>
      <xdr:row>6</xdr:row>
      <xdr:rowOff>97971</xdr:rowOff>
    </xdr:to>
    <xdr:sp macro="" textlink="">
      <xdr:nvSpPr>
        <xdr:cNvPr id="14" name="TextBox 13">
          <a:extLst>
            <a:ext uri="{FF2B5EF4-FFF2-40B4-BE49-F238E27FC236}">
              <a16:creationId xmlns:a16="http://schemas.microsoft.com/office/drawing/2014/main" id="{12588E3E-AE06-4D58-958A-D22ECB685DFE}"/>
            </a:ext>
          </a:extLst>
        </xdr:cNvPr>
        <xdr:cNvSpPr txBox="1"/>
      </xdr:nvSpPr>
      <xdr:spPr>
        <a:xfrm>
          <a:off x="4275686" y="859971"/>
          <a:ext cx="1349829"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299356</xdr:colOff>
      <xdr:row>2</xdr:row>
      <xdr:rowOff>97972</xdr:rowOff>
    </xdr:from>
    <xdr:to>
      <xdr:col>12</xdr:col>
      <xdr:colOff>299357</xdr:colOff>
      <xdr:row>4</xdr:row>
      <xdr:rowOff>119744</xdr:rowOff>
    </xdr:to>
    <xdr:sp macro="" textlink="'Pivot Table'!B8">
      <xdr:nvSpPr>
        <xdr:cNvPr id="15" name="TextBox 14">
          <a:extLst>
            <a:ext uri="{FF2B5EF4-FFF2-40B4-BE49-F238E27FC236}">
              <a16:creationId xmlns:a16="http://schemas.microsoft.com/office/drawing/2014/main" id="{6B67D533-5578-485C-BAF1-97D51A88604E}"/>
            </a:ext>
          </a:extLst>
        </xdr:cNvPr>
        <xdr:cNvSpPr txBox="1"/>
      </xdr:nvSpPr>
      <xdr:spPr>
        <a:xfrm>
          <a:off x="7048499" y="489858"/>
          <a:ext cx="1349829"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BBA046-79F9-40F1-9EA3-A55AA41972D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503785</xdr:colOff>
      <xdr:row>4</xdr:row>
      <xdr:rowOff>76200</xdr:rowOff>
    </xdr:from>
    <xdr:to>
      <xdr:col>13</xdr:col>
      <xdr:colOff>27214</xdr:colOff>
      <xdr:row>6</xdr:row>
      <xdr:rowOff>97971</xdr:rowOff>
    </xdr:to>
    <xdr:sp macro="" textlink="">
      <xdr:nvSpPr>
        <xdr:cNvPr id="18" name="TextBox 17">
          <a:extLst>
            <a:ext uri="{FF2B5EF4-FFF2-40B4-BE49-F238E27FC236}">
              <a16:creationId xmlns:a16="http://schemas.microsoft.com/office/drawing/2014/main" id="{D2D49D78-75C1-412B-B164-F67F97CA6724}"/>
            </a:ext>
          </a:extLst>
        </xdr:cNvPr>
        <xdr:cNvSpPr txBox="1"/>
      </xdr:nvSpPr>
      <xdr:spPr>
        <a:xfrm>
          <a:off x="7252928" y="859971"/>
          <a:ext cx="1548172"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AVERAGE SALES</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195942</xdr:colOff>
      <xdr:row>8</xdr:row>
      <xdr:rowOff>146958</xdr:rowOff>
    </xdr:from>
    <xdr:to>
      <xdr:col>8</xdr:col>
      <xdr:colOff>195943</xdr:colOff>
      <xdr:row>10</xdr:row>
      <xdr:rowOff>168729</xdr:rowOff>
    </xdr:to>
    <xdr:sp macro="" textlink="'Pivot Table'!C8">
      <xdr:nvSpPr>
        <xdr:cNvPr id="19" name="TextBox 18">
          <a:extLst>
            <a:ext uri="{FF2B5EF4-FFF2-40B4-BE49-F238E27FC236}">
              <a16:creationId xmlns:a16="http://schemas.microsoft.com/office/drawing/2014/main" id="{B10FE891-EAC9-44D7-AA02-E1ACF7324E7D}"/>
            </a:ext>
          </a:extLst>
        </xdr:cNvPr>
        <xdr:cNvSpPr txBox="1"/>
      </xdr:nvSpPr>
      <xdr:spPr>
        <a:xfrm>
          <a:off x="4245428" y="1714501"/>
          <a:ext cx="1349829"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997493-53E3-4A16-8873-194A507C3A0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226200</xdr:colOff>
      <xdr:row>10</xdr:row>
      <xdr:rowOff>97479</xdr:rowOff>
    </xdr:from>
    <xdr:to>
      <xdr:col>8</xdr:col>
      <xdr:colOff>226201</xdr:colOff>
      <xdr:row>12</xdr:row>
      <xdr:rowOff>119251</xdr:rowOff>
    </xdr:to>
    <xdr:sp macro="" textlink="">
      <xdr:nvSpPr>
        <xdr:cNvPr id="21" name="TextBox 20">
          <a:extLst>
            <a:ext uri="{FF2B5EF4-FFF2-40B4-BE49-F238E27FC236}">
              <a16:creationId xmlns:a16="http://schemas.microsoft.com/office/drawing/2014/main" id="{0C89BCB3-A8EB-4E9F-A681-1EFB0D7F6D7E}"/>
            </a:ext>
          </a:extLst>
        </xdr:cNvPr>
        <xdr:cNvSpPr txBox="1"/>
      </xdr:nvSpPr>
      <xdr:spPr>
        <a:xfrm>
          <a:off x="4275686" y="2056908"/>
          <a:ext cx="1349829"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299356</xdr:colOff>
      <xdr:row>8</xdr:row>
      <xdr:rowOff>146958</xdr:rowOff>
    </xdr:from>
    <xdr:to>
      <xdr:col>12</xdr:col>
      <xdr:colOff>299357</xdr:colOff>
      <xdr:row>10</xdr:row>
      <xdr:rowOff>168729</xdr:rowOff>
    </xdr:to>
    <xdr:sp macro="" textlink="'Pivot Table'!D8">
      <xdr:nvSpPr>
        <xdr:cNvPr id="23" name="TextBox 22">
          <a:extLst>
            <a:ext uri="{FF2B5EF4-FFF2-40B4-BE49-F238E27FC236}">
              <a16:creationId xmlns:a16="http://schemas.microsoft.com/office/drawing/2014/main" id="{31BEFD4E-2E18-49D5-ADDA-607518CBF7DC}"/>
            </a:ext>
          </a:extLst>
        </xdr:cNvPr>
        <xdr:cNvSpPr txBox="1"/>
      </xdr:nvSpPr>
      <xdr:spPr>
        <a:xfrm>
          <a:off x="7048499" y="1714501"/>
          <a:ext cx="1349829"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A5537ED-D03B-4EB1-949B-AAD7297B7AA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443914</xdr:colOff>
      <xdr:row>10</xdr:row>
      <xdr:rowOff>97479</xdr:rowOff>
    </xdr:from>
    <xdr:to>
      <xdr:col>13</xdr:col>
      <xdr:colOff>87085</xdr:colOff>
      <xdr:row>12</xdr:row>
      <xdr:rowOff>119251</xdr:rowOff>
    </xdr:to>
    <xdr:sp macro="" textlink="">
      <xdr:nvSpPr>
        <xdr:cNvPr id="24" name="TextBox 23">
          <a:extLst>
            <a:ext uri="{FF2B5EF4-FFF2-40B4-BE49-F238E27FC236}">
              <a16:creationId xmlns:a16="http://schemas.microsoft.com/office/drawing/2014/main" id="{ADC3CE53-4272-4050-A24B-85C4D766A2B4}"/>
            </a:ext>
          </a:extLst>
        </xdr:cNvPr>
        <xdr:cNvSpPr txBox="1"/>
      </xdr:nvSpPr>
      <xdr:spPr>
        <a:xfrm>
          <a:off x="7193057" y="2056908"/>
          <a:ext cx="1667914"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337455</xdr:colOff>
      <xdr:row>8</xdr:row>
      <xdr:rowOff>65315</xdr:rowOff>
    </xdr:from>
    <xdr:to>
      <xdr:col>5</xdr:col>
      <xdr:colOff>141513</xdr:colOff>
      <xdr:row>15</xdr:row>
      <xdr:rowOff>130628</xdr:rowOff>
    </xdr:to>
    <mc:AlternateContent xmlns:mc="http://schemas.openxmlformats.org/markup-compatibility/2006" xmlns:a14="http://schemas.microsoft.com/office/drawing/2010/main">
      <mc:Choice Requires="a14">
        <xdr:graphicFrame macro="">
          <xdr:nvGraphicFramePr>
            <xdr:cNvPr id="25" name="Outlet Size 1">
              <a:extLst>
                <a:ext uri="{FF2B5EF4-FFF2-40B4-BE49-F238E27FC236}">
                  <a16:creationId xmlns:a16="http://schemas.microsoft.com/office/drawing/2014/main" id="{B0771613-7F9E-4C45-9DD3-8A8AF2F8617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73565" y="1651945"/>
              <a:ext cx="1808222" cy="1453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195943</xdr:colOff>
      <xdr:row>2</xdr:row>
      <xdr:rowOff>168727</xdr:rowOff>
    </xdr:from>
    <xdr:to>
      <xdr:col>14</xdr:col>
      <xdr:colOff>79077</xdr:colOff>
      <xdr:row>5</xdr:row>
      <xdr:rowOff>129539</xdr:rowOff>
    </xdr:to>
    <xdr:pic>
      <xdr:nvPicPr>
        <xdr:cNvPr id="26" name="Picture 25">
          <a:extLst>
            <a:ext uri="{FF2B5EF4-FFF2-40B4-BE49-F238E27FC236}">
              <a16:creationId xmlns:a16="http://schemas.microsoft.com/office/drawing/2014/main" id="{12E25421-D83B-012E-FC16-D6DDD0A2A5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9829" y="560613"/>
          <a:ext cx="558048"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575118</xdr:colOff>
      <xdr:row>2</xdr:row>
      <xdr:rowOff>168727</xdr:rowOff>
    </xdr:from>
    <xdr:to>
      <xdr:col>9</xdr:col>
      <xdr:colOff>458251</xdr:colOff>
      <xdr:row>5</xdr:row>
      <xdr:rowOff>129539</xdr:rowOff>
    </xdr:to>
    <xdr:pic>
      <xdr:nvPicPr>
        <xdr:cNvPr id="27" name="Picture 26">
          <a:extLst>
            <a:ext uri="{FF2B5EF4-FFF2-40B4-BE49-F238E27FC236}">
              <a16:creationId xmlns:a16="http://schemas.microsoft.com/office/drawing/2014/main" id="{276AAD5C-0D5A-0085-1C13-6551360129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74432" y="560613"/>
          <a:ext cx="558048"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575118</xdr:colOff>
      <xdr:row>9</xdr:row>
      <xdr:rowOff>87085</xdr:rowOff>
    </xdr:from>
    <xdr:to>
      <xdr:col>9</xdr:col>
      <xdr:colOff>458251</xdr:colOff>
      <xdr:row>12</xdr:row>
      <xdr:rowOff>47897</xdr:rowOff>
    </xdr:to>
    <xdr:pic>
      <xdr:nvPicPr>
        <xdr:cNvPr id="28" name="Picture 27">
          <a:extLst>
            <a:ext uri="{FF2B5EF4-FFF2-40B4-BE49-F238E27FC236}">
              <a16:creationId xmlns:a16="http://schemas.microsoft.com/office/drawing/2014/main" id="{C5830DC2-673A-D53B-613F-827AE142D0C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5974432" y="1850571"/>
          <a:ext cx="558048"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195943</xdr:colOff>
      <xdr:row>9</xdr:row>
      <xdr:rowOff>87085</xdr:rowOff>
    </xdr:from>
    <xdr:to>
      <xdr:col>14</xdr:col>
      <xdr:colOff>79077</xdr:colOff>
      <xdr:row>12</xdr:row>
      <xdr:rowOff>47897</xdr:rowOff>
    </xdr:to>
    <xdr:pic>
      <xdr:nvPicPr>
        <xdr:cNvPr id="29" name="Picture 28">
          <a:extLst>
            <a:ext uri="{FF2B5EF4-FFF2-40B4-BE49-F238E27FC236}">
              <a16:creationId xmlns:a16="http://schemas.microsoft.com/office/drawing/2014/main" id="{998DE8C9-357D-AF64-02CD-702393A0A14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969829" y="1850571"/>
          <a:ext cx="558048"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626572</xdr:colOff>
      <xdr:row>14</xdr:row>
      <xdr:rowOff>135578</xdr:rowOff>
    </xdr:from>
    <xdr:to>
      <xdr:col>14</xdr:col>
      <xdr:colOff>206829</xdr:colOff>
      <xdr:row>40</xdr:row>
      <xdr:rowOff>130629</xdr:rowOff>
    </xdr:to>
    <xdr:sp macro="" textlink="">
      <xdr:nvSpPr>
        <xdr:cNvPr id="30" name="Rectangle: Rounded Corners 29">
          <a:extLst>
            <a:ext uri="{FF2B5EF4-FFF2-40B4-BE49-F238E27FC236}">
              <a16:creationId xmlns:a16="http://schemas.microsoft.com/office/drawing/2014/main" id="{8D75E4E4-4E45-4C83-A4FB-8CF57AF03A36}"/>
            </a:ext>
          </a:extLst>
        </xdr:cNvPr>
        <xdr:cNvSpPr/>
      </xdr:nvSpPr>
      <xdr:spPr>
        <a:xfrm>
          <a:off x="4001143" y="2878778"/>
          <a:ext cx="5654486" cy="5089565"/>
        </a:xfrm>
        <a:prstGeom prst="roundRect">
          <a:avLst>
            <a:gd name="adj" fmla="val 26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136714</xdr:colOff>
      <xdr:row>17</xdr:row>
      <xdr:rowOff>26721</xdr:rowOff>
    </xdr:from>
    <xdr:to>
      <xdr:col>9</xdr:col>
      <xdr:colOff>415971</xdr:colOff>
      <xdr:row>27</xdr:row>
      <xdr:rowOff>36493</xdr:rowOff>
    </xdr:to>
    <xdr:graphicFrame macro="">
      <xdr:nvGraphicFramePr>
        <xdr:cNvPr id="31" name="Chart 30">
          <a:extLst>
            <a:ext uri="{FF2B5EF4-FFF2-40B4-BE49-F238E27FC236}">
              <a16:creationId xmlns:a16="http://schemas.microsoft.com/office/drawing/2014/main" id="{5DBE4FB9-586F-4391-BC20-3A0E31E6C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93171</xdr:colOff>
      <xdr:row>14</xdr:row>
      <xdr:rowOff>157349</xdr:rowOff>
    </xdr:from>
    <xdr:to>
      <xdr:col>8</xdr:col>
      <xdr:colOff>354903</xdr:colOff>
      <xdr:row>16</xdr:row>
      <xdr:rowOff>179120</xdr:rowOff>
    </xdr:to>
    <xdr:sp macro="" textlink="">
      <xdr:nvSpPr>
        <xdr:cNvPr id="33" name="TextBox 32">
          <a:extLst>
            <a:ext uri="{FF2B5EF4-FFF2-40B4-BE49-F238E27FC236}">
              <a16:creationId xmlns:a16="http://schemas.microsoft.com/office/drawing/2014/main" id="{EE920A4D-C1EA-417D-A609-BEC93CEB444C}"/>
            </a:ext>
          </a:extLst>
        </xdr:cNvPr>
        <xdr:cNvSpPr txBox="1"/>
      </xdr:nvSpPr>
      <xdr:spPr>
        <a:xfrm>
          <a:off x="4101500" y="2933952"/>
          <a:ext cx="1597841" cy="418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65314</xdr:colOff>
      <xdr:row>15</xdr:row>
      <xdr:rowOff>54428</xdr:rowOff>
    </xdr:from>
    <xdr:to>
      <xdr:col>10</xdr:col>
      <xdr:colOff>87086</xdr:colOff>
      <xdr:row>39</xdr:row>
      <xdr:rowOff>21772</xdr:rowOff>
    </xdr:to>
    <xdr:cxnSp macro="">
      <xdr:nvCxnSpPr>
        <xdr:cNvPr id="35" name="Straight Connector 34">
          <a:extLst>
            <a:ext uri="{FF2B5EF4-FFF2-40B4-BE49-F238E27FC236}">
              <a16:creationId xmlns:a16="http://schemas.microsoft.com/office/drawing/2014/main" id="{50D1B507-580E-6119-0EDE-DB28CD20C3D5}"/>
            </a:ext>
          </a:extLst>
        </xdr:cNvPr>
        <xdr:cNvCxnSpPr/>
      </xdr:nvCxnSpPr>
      <xdr:spPr>
        <a:xfrm>
          <a:off x="6814457" y="2993571"/>
          <a:ext cx="21772" cy="466997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141514</xdr:colOff>
      <xdr:row>28</xdr:row>
      <xdr:rowOff>10886</xdr:rowOff>
    </xdr:from>
    <xdr:to>
      <xdr:col>9</xdr:col>
      <xdr:colOff>587828</xdr:colOff>
      <xdr:row>28</xdr:row>
      <xdr:rowOff>21771</xdr:rowOff>
    </xdr:to>
    <xdr:cxnSp macro="">
      <xdr:nvCxnSpPr>
        <xdr:cNvPr id="39" name="Straight Connector 38">
          <a:extLst>
            <a:ext uri="{FF2B5EF4-FFF2-40B4-BE49-F238E27FC236}">
              <a16:creationId xmlns:a16="http://schemas.microsoft.com/office/drawing/2014/main" id="{075AD3AD-9466-4FC3-9EFB-2C069E5EDA1D}"/>
            </a:ext>
          </a:extLst>
        </xdr:cNvPr>
        <xdr:cNvCxnSpPr/>
      </xdr:nvCxnSpPr>
      <xdr:spPr>
        <a:xfrm flipH="1" flipV="1">
          <a:off x="4191000" y="5497286"/>
          <a:ext cx="2471057" cy="1088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71400</xdr:colOff>
      <xdr:row>29</xdr:row>
      <xdr:rowOff>119743</xdr:rowOff>
    </xdr:from>
    <xdr:to>
      <xdr:col>9</xdr:col>
      <xdr:colOff>670115</xdr:colOff>
      <xdr:row>39</xdr:row>
      <xdr:rowOff>76200</xdr:rowOff>
    </xdr:to>
    <xdr:graphicFrame macro="">
      <xdr:nvGraphicFramePr>
        <xdr:cNvPr id="42" name="Chart 41">
          <a:extLst>
            <a:ext uri="{FF2B5EF4-FFF2-40B4-BE49-F238E27FC236}">
              <a16:creationId xmlns:a16="http://schemas.microsoft.com/office/drawing/2014/main" id="{8E3C453C-7B9C-4DD1-888F-75A785DFB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27858</xdr:colOff>
      <xdr:row>27</xdr:row>
      <xdr:rowOff>179121</xdr:rowOff>
    </xdr:from>
    <xdr:to>
      <xdr:col>8</xdr:col>
      <xdr:colOff>413657</xdr:colOff>
      <xdr:row>30</xdr:row>
      <xdr:rowOff>4949</xdr:rowOff>
    </xdr:to>
    <xdr:sp macro="" textlink="">
      <xdr:nvSpPr>
        <xdr:cNvPr id="43" name="TextBox 42">
          <a:extLst>
            <a:ext uri="{FF2B5EF4-FFF2-40B4-BE49-F238E27FC236}">
              <a16:creationId xmlns:a16="http://schemas.microsoft.com/office/drawing/2014/main" id="{00B37A6B-5103-4867-A6A1-1C276384D739}"/>
            </a:ext>
          </a:extLst>
        </xdr:cNvPr>
        <xdr:cNvSpPr txBox="1"/>
      </xdr:nvSpPr>
      <xdr:spPr>
        <a:xfrm>
          <a:off x="4077344" y="5469578"/>
          <a:ext cx="1735627"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136715</xdr:colOff>
      <xdr:row>14</xdr:row>
      <xdr:rowOff>135578</xdr:rowOff>
    </xdr:from>
    <xdr:to>
      <xdr:col>12</xdr:col>
      <xdr:colOff>136716</xdr:colOff>
      <xdr:row>16</xdr:row>
      <xdr:rowOff>157349</xdr:rowOff>
    </xdr:to>
    <xdr:sp macro="" textlink="">
      <xdr:nvSpPr>
        <xdr:cNvPr id="44" name="TextBox 43">
          <a:extLst>
            <a:ext uri="{FF2B5EF4-FFF2-40B4-BE49-F238E27FC236}">
              <a16:creationId xmlns:a16="http://schemas.microsoft.com/office/drawing/2014/main" id="{AE635D93-8680-4A26-BF54-74C36F13DF4C}"/>
            </a:ext>
          </a:extLst>
        </xdr:cNvPr>
        <xdr:cNvSpPr txBox="1"/>
      </xdr:nvSpPr>
      <xdr:spPr>
        <a:xfrm>
          <a:off x="6885858" y="2878778"/>
          <a:ext cx="1349829"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125829</xdr:colOff>
      <xdr:row>16</xdr:row>
      <xdr:rowOff>87086</xdr:rowOff>
    </xdr:from>
    <xdr:to>
      <xdr:col>14</xdr:col>
      <xdr:colOff>119743</xdr:colOff>
      <xdr:row>39</xdr:row>
      <xdr:rowOff>87087</xdr:rowOff>
    </xdr:to>
    <xdr:graphicFrame macro="">
      <xdr:nvGraphicFramePr>
        <xdr:cNvPr id="45" name="Chart 44">
          <a:extLst>
            <a:ext uri="{FF2B5EF4-FFF2-40B4-BE49-F238E27FC236}">
              <a16:creationId xmlns:a16="http://schemas.microsoft.com/office/drawing/2014/main" id="{DA7537E0-F7C2-44B4-B75D-687535A12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441514</xdr:colOff>
      <xdr:row>1</xdr:row>
      <xdr:rowOff>135698</xdr:rowOff>
    </xdr:from>
    <xdr:to>
      <xdr:col>23</xdr:col>
      <xdr:colOff>598714</xdr:colOff>
      <xdr:row>40</xdr:row>
      <xdr:rowOff>141515</xdr:rowOff>
    </xdr:to>
    <xdr:sp macro="" textlink="">
      <xdr:nvSpPr>
        <xdr:cNvPr id="46" name="Rectangle: Rounded Corners 45">
          <a:extLst>
            <a:ext uri="{FF2B5EF4-FFF2-40B4-BE49-F238E27FC236}">
              <a16:creationId xmlns:a16="http://schemas.microsoft.com/office/drawing/2014/main" id="{A72D8A4E-01A6-4C04-894A-3C463E2AB361}"/>
            </a:ext>
          </a:extLst>
        </xdr:cNvPr>
        <xdr:cNvSpPr/>
      </xdr:nvSpPr>
      <xdr:spPr>
        <a:xfrm>
          <a:off x="9794281" y="334027"/>
          <a:ext cx="6169693" cy="7740639"/>
        </a:xfrm>
        <a:prstGeom prst="roundRect">
          <a:avLst>
            <a:gd name="adj" fmla="val 281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539487</xdr:colOff>
      <xdr:row>2</xdr:row>
      <xdr:rowOff>15834</xdr:rowOff>
    </xdr:from>
    <xdr:to>
      <xdr:col>18</xdr:col>
      <xdr:colOff>141515</xdr:colOff>
      <xdr:row>4</xdr:row>
      <xdr:rowOff>37606</xdr:rowOff>
    </xdr:to>
    <xdr:sp macro="" textlink="">
      <xdr:nvSpPr>
        <xdr:cNvPr id="47" name="TextBox 46">
          <a:extLst>
            <a:ext uri="{FF2B5EF4-FFF2-40B4-BE49-F238E27FC236}">
              <a16:creationId xmlns:a16="http://schemas.microsoft.com/office/drawing/2014/main" id="{D5BC8F4D-A77F-4C96-A210-F5E667CF1AE9}"/>
            </a:ext>
          </a:extLst>
        </xdr:cNvPr>
        <xdr:cNvSpPr txBox="1"/>
      </xdr:nvSpPr>
      <xdr:spPr>
        <a:xfrm>
          <a:off x="9988287" y="407720"/>
          <a:ext cx="2301685"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604799</xdr:colOff>
      <xdr:row>3</xdr:row>
      <xdr:rowOff>81149</xdr:rowOff>
    </xdr:from>
    <xdr:to>
      <xdr:col>23</xdr:col>
      <xdr:colOff>402771</xdr:colOff>
      <xdr:row>13</xdr:row>
      <xdr:rowOff>155721</xdr:rowOff>
    </xdr:to>
    <xdr:graphicFrame macro="">
      <xdr:nvGraphicFramePr>
        <xdr:cNvPr id="49" name="Chart 48">
          <a:extLst>
            <a:ext uri="{FF2B5EF4-FFF2-40B4-BE49-F238E27FC236}">
              <a16:creationId xmlns:a16="http://schemas.microsoft.com/office/drawing/2014/main" id="{0D820F88-00ED-4D24-8CCF-35D726949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97972</xdr:colOff>
      <xdr:row>14</xdr:row>
      <xdr:rowOff>32657</xdr:rowOff>
    </xdr:from>
    <xdr:to>
      <xdr:col>23</xdr:col>
      <xdr:colOff>97971</xdr:colOff>
      <xdr:row>14</xdr:row>
      <xdr:rowOff>32658</xdr:rowOff>
    </xdr:to>
    <xdr:cxnSp macro="">
      <xdr:nvCxnSpPr>
        <xdr:cNvPr id="50" name="Straight Connector 49">
          <a:extLst>
            <a:ext uri="{FF2B5EF4-FFF2-40B4-BE49-F238E27FC236}">
              <a16:creationId xmlns:a16="http://schemas.microsoft.com/office/drawing/2014/main" id="{C1FA2430-D7C9-4CE2-9091-9075D481A49B}"/>
            </a:ext>
          </a:extLst>
        </xdr:cNvPr>
        <xdr:cNvCxnSpPr/>
      </xdr:nvCxnSpPr>
      <xdr:spPr>
        <a:xfrm flipH="1">
          <a:off x="10221686" y="2775857"/>
          <a:ext cx="5399314" cy="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653142</xdr:colOff>
      <xdr:row>14</xdr:row>
      <xdr:rowOff>54428</xdr:rowOff>
    </xdr:from>
    <xdr:to>
      <xdr:col>16</xdr:col>
      <xdr:colOff>587828</xdr:colOff>
      <xdr:row>16</xdr:row>
      <xdr:rowOff>76199</xdr:rowOff>
    </xdr:to>
    <xdr:sp macro="" textlink="">
      <xdr:nvSpPr>
        <xdr:cNvPr id="52" name="TextBox 51">
          <a:extLst>
            <a:ext uri="{FF2B5EF4-FFF2-40B4-BE49-F238E27FC236}">
              <a16:creationId xmlns:a16="http://schemas.microsoft.com/office/drawing/2014/main" id="{B53AFD26-A44F-41E7-AEB7-7E1774343044}"/>
            </a:ext>
          </a:extLst>
        </xdr:cNvPr>
        <xdr:cNvSpPr txBox="1"/>
      </xdr:nvSpPr>
      <xdr:spPr>
        <a:xfrm>
          <a:off x="10101942" y="2797628"/>
          <a:ext cx="1284515"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97973</xdr:colOff>
      <xdr:row>16</xdr:row>
      <xdr:rowOff>119742</xdr:rowOff>
    </xdr:from>
    <xdr:to>
      <xdr:col>19</xdr:col>
      <xdr:colOff>152316</xdr:colOff>
      <xdr:row>28</xdr:row>
      <xdr:rowOff>18428</xdr:rowOff>
    </xdr:to>
    <xdr:graphicFrame macro="">
      <xdr:nvGraphicFramePr>
        <xdr:cNvPr id="53" name="Chart 52">
          <a:extLst>
            <a:ext uri="{FF2B5EF4-FFF2-40B4-BE49-F238E27FC236}">
              <a16:creationId xmlns:a16="http://schemas.microsoft.com/office/drawing/2014/main" id="{AD33E347-E1D4-4D1C-B3CC-511A52DE2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130629</xdr:colOff>
      <xdr:row>28</xdr:row>
      <xdr:rowOff>152400</xdr:rowOff>
    </xdr:from>
    <xdr:to>
      <xdr:col>23</xdr:col>
      <xdr:colOff>576942</xdr:colOff>
      <xdr:row>28</xdr:row>
      <xdr:rowOff>163286</xdr:rowOff>
    </xdr:to>
    <xdr:cxnSp macro="">
      <xdr:nvCxnSpPr>
        <xdr:cNvPr id="54" name="Straight Connector 53">
          <a:extLst>
            <a:ext uri="{FF2B5EF4-FFF2-40B4-BE49-F238E27FC236}">
              <a16:creationId xmlns:a16="http://schemas.microsoft.com/office/drawing/2014/main" id="{4D1436E3-4DC0-469D-BF93-ED35D1F8EE50}"/>
            </a:ext>
          </a:extLst>
        </xdr:cNvPr>
        <xdr:cNvCxnSpPr/>
      </xdr:nvCxnSpPr>
      <xdr:spPr>
        <a:xfrm flipH="1" flipV="1">
          <a:off x="10254343" y="5638800"/>
          <a:ext cx="5845628" cy="1088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239486</xdr:colOff>
      <xdr:row>15</xdr:row>
      <xdr:rowOff>97971</xdr:rowOff>
    </xdr:from>
    <xdr:to>
      <xdr:col>19</xdr:col>
      <xdr:colOff>250372</xdr:colOff>
      <xdr:row>27</xdr:row>
      <xdr:rowOff>185057</xdr:rowOff>
    </xdr:to>
    <xdr:cxnSp macro="">
      <xdr:nvCxnSpPr>
        <xdr:cNvPr id="55" name="Straight Connector 54">
          <a:extLst>
            <a:ext uri="{FF2B5EF4-FFF2-40B4-BE49-F238E27FC236}">
              <a16:creationId xmlns:a16="http://schemas.microsoft.com/office/drawing/2014/main" id="{DD382C34-10D6-43B8-89BA-386A5B19C701}"/>
            </a:ext>
          </a:extLst>
        </xdr:cNvPr>
        <xdr:cNvCxnSpPr/>
      </xdr:nvCxnSpPr>
      <xdr:spPr>
        <a:xfrm>
          <a:off x="13062857" y="3037114"/>
          <a:ext cx="10886" cy="24384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381000</xdr:colOff>
      <xdr:row>16</xdr:row>
      <xdr:rowOff>21771</xdr:rowOff>
    </xdr:from>
    <xdr:to>
      <xdr:col>23</xdr:col>
      <xdr:colOff>555170</xdr:colOff>
      <xdr:row>28</xdr:row>
      <xdr:rowOff>32657</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B29131C8-2E9D-43B2-A474-83A3BFF65C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121640" y="3191691"/>
              <a:ext cx="2856410" cy="23883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381001</xdr:colOff>
      <xdr:row>14</xdr:row>
      <xdr:rowOff>65314</xdr:rowOff>
    </xdr:from>
    <xdr:to>
      <xdr:col>22</xdr:col>
      <xdr:colOff>119743</xdr:colOff>
      <xdr:row>16</xdr:row>
      <xdr:rowOff>87085</xdr:rowOff>
    </xdr:to>
    <xdr:sp macro="" textlink="">
      <xdr:nvSpPr>
        <xdr:cNvPr id="58" name="TextBox 57">
          <a:extLst>
            <a:ext uri="{FF2B5EF4-FFF2-40B4-BE49-F238E27FC236}">
              <a16:creationId xmlns:a16="http://schemas.microsoft.com/office/drawing/2014/main" id="{B77403BD-2D89-43B7-8506-4581C6B3F0F5}"/>
            </a:ext>
          </a:extLst>
        </xdr:cNvPr>
        <xdr:cNvSpPr txBox="1"/>
      </xdr:nvSpPr>
      <xdr:spPr>
        <a:xfrm>
          <a:off x="13204372" y="2808514"/>
          <a:ext cx="1763485"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664028</xdr:colOff>
      <xdr:row>30</xdr:row>
      <xdr:rowOff>11389</xdr:rowOff>
    </xdr:from>
    <xdr:to>
      <xdr:col>18</xdr:col>
      <xdr:colOff>250371</xdr:colOff>
      <xdr:row>39</xdr:row>
      <xdr:rowOff>141515</xdr:rowOff>
    </xdr:to>
    <xdr:graphicFrame macro="">
      <xdr:nvGraphicFramePr>
        <xdr:cNvPr id="61" name="Chart 60">
          <a:extLst>
            <a:ext uri="{FF2B5EF4-FFF2-40B4-BE49-F238E27FC236}">
              <a16:creationId xmlns:a16="http://schemas.microsoft.com/office/drawing/2014/main" id="{F168A061-F99D-452E-B0B8-F1CECF95F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54428</xdr:colOff>
      <xdr:row>28</xdr:row>
      <xdr:rowOff>152400</xdr:rowOff>
    </xdr:from>
    <xdr:to>
      <xdr:col>16</xdr:col>
      <xdr:colOff>664028</xdr:colOff>
      <xdr:row>30</xdr:row>
      <xdr:rowOff>174171</xdr:rowOff>
    </xdr:to>
    <xdr:sp macro="" textlink="">
      <xdr:nvSpPr>
        <xdr:cNvPr id="62" name="TextBox 61">
          <a:extLst>
            <a:ext uri="{FF2B5EF4-FFF2-40B4-BE49-F238E27FC236}">
              <a16:creationId xmlns:a16="http://schemas.microsoft.com/office/drawing/2014/main" id="{B0B43F30-D986-4BB8-8887-BBA8E2AF64A9}"/>
            </a:ext>
          </a:extLst>
        </xdr:cNvPr>
        <xdr:cNvSpPr txBox="1"/>
      </xdr:nvSpPr>
      <xdr:spPr>
        <a:xfrm>
          <a:off x="10178142" y="5638800"/>
          <a:ext cx="1284515"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400" b="0"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522514</xdr:colOff>
      <xdr:row>30</xdr:row>
      <xdr:rowOff>32657</xdr:rowOff>
    </xdr:from>
    <xdr:to>
      <xdr:col>21</xdr:col>
      <xdr:colOff>239486</xdr:colOff>
      <xdr:row>39</xdr:row>
      <xdr:rowOff>130629</xdr:rowOff>
    </xdr:to>
    <xdr:graphicFrame macro="">
      <xdr:nvGraphicFramePr>
        <xdr:cNvPr id="63" name="Chart 62">
          <a:extLst>
            <a:ext uri="{FF2B5EF4-FFF2-40B4-BE49-F238E27FC236}">
              <a16:creationId xmlns:a16="http://schemas.microsoft.com/office/drawing/2014/main" id="{E261F321-BC3B-4A91-B215-A5F0CFD8E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587828</xdr:colOff>
      <xdr:row>38</xdr:row>
      <xdr:rowOff>174171</xdr:rowOff>
    </xdr:from>
    <xdr:to>
      <xdr:col>17</xdr:col>
      <xdr:colOff>522514</xdr:colOff>
      <xdr:row>41</xdr:row>
      <xdr:rowOff>0</xdr:rowOff>
    </xdr:to>
    <xdr:sp macro="" textlink="">
      <xdr:nvSpPr>
        <xdr:cNvPr id="64" name="TextBox 63">
          <a:extLst>
            <a:ext uri="{FF2B5EF4-FFF2-40B4-BE49-F238E27FC236}">
              <a16:creationId xmlns:a16="http://schemas.microsoft.com/office/drawing/2014/main" id="{9994AAF8-FE33-4692-BB92-9B919DBDA641}"/>
            </a:ext>
          </a:extLst>
        </xdr:cNvPr>
        <xdr:cNvSpPr txBox="1"/>
      </xdr:nvSpPr>
      <xdr:spPr>
        <a:xfrm>
          <a:off x="10711542" y="7620000"/>
          <a:ext cx="1284515"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TOTAL SALES</a:t>
          </a:r>
          <a:endParaRPr lang="en-IN" sz="1200" b="0" i="0" u="none" strike="noStrike">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555171</xdr:colOff>
      <xdr:row>38</xdr:row>
      <xdr:rowOff>174171</xdr:rowOff>
    </xdr:from>
    <xdr:to>
      <xdr:col>21</xdr:col>
      <xdr:colOff>97971</xdr:colOff>
      <xdr:row>41</xdr:row>
      <xdr:rowOff>0</xdr:rowOff>
    </xdr:to>
    <xdr:sp macro="" textlink="">
      <xdr:nvSpPr>
        <xdr:cNvPr id="65" name="TextBox 64">
          <a:extLst>
            <a:ext uri="{FF2B5EF4-FFF2-40B4-BE49-F238E27FC236}">
              <a16:creationId xmlns:a16="http://schemas.microsoft.com/office/drawing/2014/main" id="{86281969-95F9-482C-A906-89CD6C5582CC}"/>
            </a:ext>
          </a:extLst>
        </xdr:cNvPr>
        <xdr:cNvSpPr txBox="1"/>
      </xdr:nvSpPr>
      <xdr:spPr>
        <a:xfrm>
          <a:off x="12703628" y="7620000"/>
          <a:ext cx="1567543"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AVERAGE SALES</a:t>
          </a:r>
          <a:endParaRPr lang="en-IN" sz="1200" b="0" i="0" u="none" strike="noStrike">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337457</xdr:colOff>
      <xdr:row>30</xdr:row>
      <xdr:rowOff>65311</xdr:rowOff>
    </xdr:from>
    <xdr:to>
      <xdr:col>23</xdr:col>
      <xdr:colOff>609600</xdr:colOff>
      <xdr:row>39</xdr:row>
      <xdr:rowOff>167202</xdr:rowOff>
    </xdr:to>
    <xdr:graphicFrame macro="">
      <xdr:nvGraphicFramePr>
        <xdr:cNvPr id="66" name="Chart 65">
          <a:extLst>
            <a:ext uri="{FF2B5EF4-FFF2-40B4-BE49-F238E27FC236}">
              <a16:creationId xmlns:a16="http://schemas.microsoft.com/office/drawing/2014/main" id="{F0F87722-5002-457F-8CAB-0CB4BDC02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380999</xdr:colOff>
      <xdr:row>38</xdr:row>
      <xdr:rowOff>174171</xdr:rowOff>
    </xdr:from>
    <xdr:to>
      <xdr:col>23</xdr:col>
      <xdr:colOff>598713</xdr:colOff>
      <xdr:row>41</xdr:row>
      <xdr:rowOff>0</xdr:rowOff>
    </xdr:to>
    <xdr:sp macro="" textlink="">
      <xdr:nvSpPr>
        <xdr:cNvPr id="67" name="TextBox 66">
          <a:extLst>
            <a:ext uri="{FF2B5EF4-FFF2-40B4-BE49-F238E27FC236}">
              <a16:creationId xmlns:a16="http://schemas.microsoft.com/office/drawing/2014/main" id="{65A87C86-2D3A-4377-9467-0E98183F5A26}"/>
            </a:ext>
          </a:extLst>
        </xdr:cNvPr>
        <xdr:cNvSpPr txBox="1"/>
      </xdr:nvSpPr>
      <xdr:spPr>
        <a:xfrm>
          <a:off x="14554199" y="7620000"/>
          <a:ext cx="1567543"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i="0" u="none" strike="noStrike" baseline="0">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IN" sz="1200" b="0" i="0" u="none" strike="noStrike">
            <a:solidFill>
              <a:srgbClr val="00B0F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347352</xdr:colOff>
      <xdr:row>6</xdr:row>
      <xdr:rowOff>57683</xdr:rowOff>
    </xdr:from>
    <xdr:to>
      <xdr:col>5</xdr:col>
      <xdr:colOff>347352</xdr:colOff>
      <xdr:row>7</xdr:row>
      <xdr:rowOff>81432</xdr:rowOff>
    </xdr:to>
    <xdr:sp macro="" textlink="">
      <xdr:nvSpPr>
        <xdr:cNvPr id="3" name="TextBox 2">
          <a:extLst>
            <a:ext uri="{FF2B5EF4-FFF2-40B4-BE49-F238E27FC236}">
              <a16:creationId xmlns:a16="http://schemas.microsoft.com/office/drawing/2014/main" id="{FE27D651-1156-4A47-9494-BF95F8BB43FE}"/>
            </a:ext>
          </a:extLst>
        </xdr:cNvPr>
        <xdr:cNvSpPr txBox="1"/>
      </xdr:nvSpPr>
      <xdr:spPr>
        <a:xfrm>
          <a:off x="1697181" y="1233340"/>
          <a:ext cx="2024742" cy="21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latin typeface="Aptos Display" panose="020B0004020202020204" pitchFamily="34" charset="0"/>
              <a:ea typeface="Segoe UI Black" panose="020B0A02040204020203" pitchFamily="34" charset="0"/>
            </a:rPr>
            <a:t>FILTER</a:t>
          </a:r>
          <a:r>
            <a:rPr lang="en-IN" sz="1400" b="1" baseline="0">
              <a:solidFill>
                <a:schemeClr val="accent6">
                  <a:lumMod val="50000"/>
                </a:schemeClr>
              </a:solidFill>
              <a:latin typeface="Aptos Display" panose="020B0004020202020204" pitchFamily="34" charset="0"/>
              <a:ea typeface="Segoe UI Black" panose="020B0A02040204020203" pitchFamily="34" charset="0"/>
            </a:rPr>
            <a:t> PANEL</a:t>
          </a:r>
          <a:endParaRPr lang="en-IN" sz="14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2</xdr:col>
      <xdr:colOff>446313</xdr:colOff>
      <xdr:row>6</xdr:row>
      <xdr:rowOff>30369</xdr:rowOff>
    </xdr:from>
    <xdr:to>
      <xdr:col>3</xdr:col>
      <xdr:colOff>50423</xdr:colOff>
      <xdr:row>7</xdr:row>
      <xdr:rowOff>108746</xdr:rowOff>
    </xdr:to>
    <xdr:pic>
      <xdr:nvPicPr>
        <xdr:cNvPr id="9" name="Picture 8">
          <a:extLst>
            <a:ext uri="{FF2B5EF4-FFF2-40B4-BE49-F238E27FC236}">
              <a16:creationId xmlns:a16="http://schemas.microsoft.com/office/drawing/2014/main" id="{02C4344A-DA47-5BB2-46B2-EA7306B652F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796142" y="1206026"/>
          <a:ext cx="279024"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321567</xdr:colOff>
      <xdr:row>16</xdr:row>
      <xdr:rowOff>116775</xdr:rowOff>
    </xdr:from>
    <xdr:to>
      <xdr:col>5</xdr:col>
      <xdr:colOff>125625</xdr:colOff>
      <xdr:row>23</xdr:row>
      <xdr:rowOff>130629</xdr:rowOff>
    </xdr:to>
    <mc:AlternateContent xmlns:mc="http://schemas.openxmlformats.org/markup-compatibility/2006" xmlns:a14="http://schemas.microsoft.com/office/drawing/2010/main">
      <mc:Choice Requires="a14">
        <xdr:graphicFrame macro="">
          <xdr:nvGraphicFramePr>
            <xdr:cNvPr id="16" name="Outlet Location Type 1">
              <a:extLst>
                <a:ext uri="{FF2B5EF4-FFF2-40B4-BE49-F238E27FC236}">
                  <a16:creationId xmlns:a16="http://schemas.microsoft.com/office/drawing/2014/main" id="{E5340D73-88FA-4C50-82F3-6A8FD8D8B39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57677" y="3290035"/>
              <a:ext cx="1808222" cy="1402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332454</xdr:colOff>
      <xdr:row>24</xdr:row>
      <xdr:rowOff>105888</xdr:rowOff>
    </xdr:from>
    <xdr:to>
      <xdr:col>5</xdr:col>
      <xdr:colOff>136512</xdr:colOff>
      <xdr:row>35</xdr:row>
      <xdr:rowOff>108856</xdr:rowOff>
    </xdr:to>
    <mc:AlternateContent xmlns:mc="http://schemas.openxmlformats.org/markup-compatibility/2006" xmlns:a14="http://schemas.microsoft.com/office/drawing/2010/main">
      <mc:Choice Requires="a14">
        <xdr:graphicFrame macro="">
          <xdr:nvGraphicFramePr>
            <xdr:cNvPr id="17" name="Item Type 1">
              <a:extLst>
                <a:ext uri="{FF2B5EF4-FFF2-40B4-BE49-F238E27FC236}">
                  <a16:creationId xmlns:a16="http://schemas.microsoft.com/office/drawing/2014/main" id="{65D33A33-C37D-4AB9-A302-E9BFB87B451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68564" y="4865778"/>
              <a:ext cx="1808222" cy="2184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424541</xdr:colOff>
      <xdr:row>36</xdr:row>
      <xdr:rowOff>17368</xdr:rowOff>
    </xdr:from>
    <xdr:to>
      <xdr:col>3</xdr:col>
      <xdr:colOff>446314</xdr:colOff>
      <xdr:row>39</xdr:row>
      <xdr:rowOff>126227</xdr:rowOff>
    </xdr:to>
    <xdr:pic>
      <xdr:nvPicPr>
        <xdr:cNvPr id="38" name="Picture 37">
          <a:hlinkClick xmlns:r="http://schemas.openxmlformats.org/officeDocument/2006/relationships" r:id="rId15"/>
          <a:extLst>
            <a:ext uri="{FF2B5EF4-FFF2-40B4-BE49-F238E27FC236}">
              <a16:creationId xmlns:a16="http://schemas.microsoft.com/office/drawing/2014/main" id="{AA21AAAC-C022-8F71-AEF3-02E3593AAA8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774370" y="7071311"/>
          <a:ext cx="696687" cy="696687"/>
        </a:xfrm>
        <a:prstGeom prst="rect">
          <a:avLst/>
        </a:prstGeom>
      </xdr:spPr>
    </xdr:pic>
    <xdr:clientData/>
  </xdr:twoCellAnchor>
  <xdr:twoCellAnchor editAs="oneCell">
    <xdr:from>
      <xdr:col>4</xdr:col>
      <xdr:colOff>21773</xdr:colOff>
      <xdr:row>36</xdr:row>
      <xdr:rowOff>28255</xdr:rowOff>
    </xdr:from>
    <xdr:to>
      <xdr:col>5</xdr:col>
      <xdr:colOff>21772</xdr:colOff>
      <xdr:row>39</xdr:row>
      <xdr:rowOff>115340</xdr:rowOff>
    </xdr:to>
    <xdr:pic>
      <xdr:nvPicPr>
        <xdr:cNvPr id="41" name="Picture 40">
          <a:hlinkClick xmlns:r="http://schemas.openxmlformats.org/officeDocument/2006/relationships" r:id="rId17"/>
          <a:extLst>
            <a:ext uri="{FF2B5EF4-FFF2-40B4-BE49-F238E27FC236}">
              <a16:creationId xmlns:a16="http://schemas.microsoft.com/office/drawing/2014/main" id="{DB9E7521-6ACF-DC6F-5198-2A2943B3034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721430" y="7082198"/>
          <a:ext cx="674913" cy="6749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3.749185879627" createdVersion="8" refreshedVersion="8" minRefreshableVersion="3" recordCount="8523" xr:uid="{19FE655D-87E1-4D64-A8DF-1FBD03CA0F2A}">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07258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E3254A-8EE1-4A04-BFCA-E17246D9C7A2}" name="PivotTable6" cacheId="2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96:B99"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7"/>
  </dataFields>
  <formats count="13">
    <format dxfId="354">
      <pivotArea type="all" dataOnly="0" outline="0" fieldPosition="0"/>
    </format>
    <format dxfId="353">
      <pivotArea outline="0" collapsedLevelsAreSubtotals="1" fieldPosition="0"/>
    </format>
    <format dxfId="352">
      <pivotArea dataOnly="0" labelOnly="1" grandRow="1" outline="0" fieldPosition="0"/>
    </format>
    <format dxfId="351">
      <pivotArea outline="0" collapsedLevelsAreSubtotals="1" fieldPosition="0"/>
    </format>
    <format dxfId="350">
      <pivotArea type="all" dataOnly="0" outline="0" fieldPosition="0"/>
    </format>
    <format dxfId="349">
      <pivotArea outline="0" collapsedLevelsAreSubtotals="1" fieldPosition="0"/>
    </format>
    <format dxfId="348">
      <pivotArea field="3" type="button" dataOnly="0" labelOnly="1" outline="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field="6" type="button" dataOnly="0" labelOnly="1" outline="0" axis="axisRow" fieldPosition="0"/>
    </format>
    <format dxfId="343">
      <pivotArea dataOnly="0" labelOnly="1" fieldPosition="0">
        <references count="1">
          <reference field="6" count="0"/>
        </references>
      </pivotArea>
    </format>
    <format dxfId="342">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6" count="1" selected="0">
            <x v="0"/>
          </reference>
        </references>
      </pivotArea>
    </chartFormat>
    <chartFormat chart="28" format="7">
      <pivotArea type="data" outline="0" fieldPosition="0">
        <references count="2">
          <reference field="4294967294" count="1" selected="0">
            <x v="0"/>
          </reference>
          <reference field="6" count="1" selected="0">
            <x v="1"/>
          </reference>
        </references>
      </pivotArea>
    </chartFormat>
    <chartFormat chart="28" format="8">
      <pivotArea type="data" outline="0" fieldPosition="0">
        <references count="2">
          <reference field="4294967294" count="1" selected="0">
            <x v="0"/>
          </reference>
          <reference field="6" count="1" selected="0">
            <x v="2"/>
          </reference>
        </references>
      </pivotArea>
    </chartFormat>
    <chartFormat chart="25" format="1">
      <pivotArea type="data" outline="0" fieldPosition="0">
        <references count="2">
          <reference field="4294967294" count="1" selected="0">
            <x v="0"/>
          </reference>
          <reference field="6" count="1" selected="0">
            <x v="0"/>
          </reference>
        </references>
      </pivotArea>
    </chartFormat>
    <chartFormat chart="25" format="2">
      <pivotArea type="data" outline="0" fieldPosition="0">
        <references count="2">
          <reference field="4294967294" count="1" selected="0">
            <x v="0"/>
          </reference>
          <reference field="6" count="1" selected="0">
            <x v="1"/>
          </reference>
        </references>
      </pivotArea>
    </chartFormat>
    <chartFormat chart="25" format="3">
      <pivotArea type="data" outline="0" fieldPosition="0">
        <references count="2">
          <reference field="4294967294" count="1" selected="0">
            <x v="0"/>
          </reference>
          <reference field="6" count="1" selected="0">
            <x v="2"/>
          </reference>
        </references>
      </pivotArea>
    </chartFormat>
    <chartFormat chart="28"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DE0F1B-7341-48D1-99B6-ADB628101725}" name="PivotTable5" cacheId="2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76:B8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7"/>
  </dataFields>
  <formats count="9">
    <format dxfId="363">
      <pivotArea type="all" dataOnly="0" outline="0" fieldPosition="0"/>
    </format>
    <format dxfId="362">
      <pivotArea outline="0" collapsedLevelsAreSubtotals="1" fieldPosition="0"/>
    </format>
    <format dxfId="361">
      <pivotArea dataOnly="0" labelOnly="1" grandRow="1" outline="0" fieldPosition="0"/>
    </format>
    <format dxfId="360">
      <pivotArea outline="0" collapsedLevelsAreSubtotals="1" fieldPosition="0"/>
    </format>
    <format dxfId="359">
      <pivotArea type="all" dataOnly="0" outline="0" fieldPosition="0"/>
    </format>
    <format dxfId="358">
      <pivotArea outline="0" collapsedLevelsAreSubtotals="1" fieldPosition="0"/>
    </format>
    <format dxfId="357">
      <pivotArea field="3" type="button" dataOnly="0" labelOnly="1" outline="0" axis="axisRow" fieldPosition="0"/>
    </format>
    <format dxfId="356">
      <pivotArea dataOnly="0" labelOnly="1" fieldPosition="0">
        <references count="1">
          <reference field="3" count="0"/>
        </references>
      </pivotArea>
    </format>
    <format dxfId="355">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3" count="1" selected="0">
            <x v="0"/>
          </reference>
        </references>
      </pivotArea>
    </chartFormat>
    <chartFormat chart="23" format="4">
      <pivotArea type="data" outline="0" fieldPosition="0">
        <references count="2">
          <reference field="4294967294" count="1" selected="0">
            <x v="0"/>
          </reference>
          <reference field="3" count="1" selected="0">
            <x v="1"/>
          </reference>
        </references>
      </pivotArea>
    </chartFormat>
    <chartFormat chart="23" format="5">
      <pivotArea type="data" outline="0" fieldPosition="0">
        <references count="2">
          <reference field="4294967294" count="1" selected="0">
            <x v="0"/>
          </reference>
          <reference field="3" count="1" selected="0">
            <x v="2"/>
          </reference>
        </references>
      </pivotArea>
    </chartFormat>
    <chartFormat chart="23" format="6">
      <pivotArea type="data" outline="0" fieldPosition="0">
        <references count="2">
          <reference field="4294967294" count="1" selected="0">
            <x v="0"/>
          </reference>
          <reference field="3" count="1" selected="0">
            <x v="3"/>
          </reference>
        </references>
      </pivotArea>
    </chartFormat>
    <chartFormat chart="23" format="7">
      <pivotArea type="data" outline="0" fieldPosition="0">
        <references count="2">
          <reference field="4294967294" count="1" selected="0">
            <x v="0"/>
          </reference>
          <reference field="3" count="1" selected="0">
            <x v="4"/>
          </reference>
        </references>
      </pivotArea>
    </chartFormat>
    <chartFormat chart="23" format="8">
      <pivotArea type="data" outline="0" fieldPosition="0">
        <references count="2">
          <reference field="4294967294" count="1" selected="0">
            <x v="0"/>
          </reference>
          <reference field="3" count="1" selected="0">
            <x v="5"/>
          </reference>
        </references>
      </pivotArea>
    </chartFormat>
    <chartFormat chart="23" format="9">
      <pivotArea type="data" outline="0" fieldPosition="0">
        <references count="2">
          <reference field="4294967294" count="1" selected="0">
            <x v="0"/>
          </reference>
          <reference field="3" count="1" selected="0">
            <x v="6"/>
          </reference>
        </references>
      </pivotArea>
    </chartFormat>
    <chartFormat chart="23" format="10">
      <pivotArea type="data" outline="0" fieldPosition="0">
        <references count="2">
          <reference field="4294967294" count="1" selected="0">
            <x v="0"/>
          </reference>
          <reference field="3" count="1" selected="0">
            <x v="7"/>
          </reference>
        </references>
      </pivotArea>
    </chartFormat>
    <chartFormat chart="23"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02EA1D-80B6-4F3A-8FFF-4C82C31AEFA9}" name="PivotTable2" cacheId="25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8:B20"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67"/>
  </dataFields>
  <formats count="7">
    <format dxfId="370">
      <pivotArea type="all" dataOnly="0" outline="0" fieldPosition="0"/>
    </format>
    <format dxfId="369">
      <pivotArea outline="0" collapsedLevelsAreSubtotals="1" fieldPosition="0"/>
    </format>
    <format dxfId="368">
      <pivotArea field="0" type="button" dataOnly="0" labelOnly="1" outline="0" axis="axisRow" fieldPosition="0"/>
    </format>
    <format dxfId="367">
      <pivotArea dataOnly="0" labelOnly="1" fieldPosition="0">
        <references count="1">
          <reference field="0" count="0"/>
        </references>
      </pivotArea>
    </format>
    <format dxfId="366">
      <pivotArea dataOnly="0" labelOnly="1" grandRow="1" outline="0" fieldPosition="0"/>
    </format>
    <format dxfId="365">
      <pivotArea dataOnly="0" labelOnly="1" outline="0" axis="axisValues" fieldPosition="0"/>
    </format>
    <format dxfId="36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D43D6C-DC2A-4656-8E77-FC05D5DD5F5C}" name="PivotTable10" cacheId="2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173:B177" firstHeaderRow="1" firstDataRow="1" firstDataCol="1"/>
  <pivotFields count="12">
    <pivotField showAll="0">
      <items count="3">
        <item x="0"/>
        <item x="1"/>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7"/>
  </rowFields>
  <rowItems count="4">
    <i>
      <x/>
    </i>
    <i>
      <x v="1"/>
    </i>
    <i>
      <x v="2"/>
    </i>
    <i>
      <x v="3"/>
    </i>
  </rowItems>
  <colItems count="1">
    <i/>
  </colItems>
  <dataFields count="1">
    <dataField name="Count of Item Identifier" fld="1" subtotal="count" baseField="0" baseItem="0"/>
  </dataFields>
  <formats count="17">
    <format dxfId="387">
      <pivotArea type="all" dataOnly="0" outline="0" fieldPosition="0"/>
    </format>
    <format dxfId="386">
      <pivotArea outline="0" collapsedLevelsAreSubtotals="1" fieldPosition="0"/>
    </format>
    <format dxfId="385">
      <pivotArea dataOnly="0" labelOnly="1" grandRow="1" outline="0" fieldPosition="0"/>
    </format>
    <format dxfId="384">
      <pivotArea outline="0" collapsedLevelsAreSubtotals="1" fieldPosition="0"/>
    </format>
    <format dxfId="383">
      <pivotArea type="all" dataOnly="0" outline="0" fieldPosition="0"/>
    </format>
    <format dxfId="382">
      <pivotArea outline="0" collapsedLevelsAreSubtotals="1" fieldPosition="0"/>
    </format>
    <format dxfId="381">
      <pivotArea field="3" type="button" dataOnly="0" labelOnly="1" outline="0"/>
    </format>
    <format dxfId="380">
      <pivotArea dataOnly="0" labelOnly="1" outline="0" axis="axisValues" fieldPosition="0"/>
    </format>
    <format dxfId="379">
      <pivotArea type="all" dataOnly="0" outline="0" fieldPosition="0"/>
    </format>
    <format dxfId="378">
      <pivotArea outline="0" collapsedLevelsAreSubtotals="1" fieldPosition="0"/>
    </format>
    <format dxfId="377">
      <pivotArea field="5" type="button" dataOnly="0" labelOnly="1" outline="0"/>
    </format>
    <format dxfId="376">
      <pivotArea outline="0" collapsedLevelsAreSubtotals="1" fieldPosition="0"/>
    </format>
    <format dxfId="375">
      <pivotArea type="all" dataOnly="0" outline="0" fieldPosition="0"/>
    </format>
    <format dxfId="374">
      <pivotArea outline="0" collapsedLevelsAreSubtotals="1" fieldPosition="0"/>
    </format>
    <format dxfId="373">
      <pivotArea field="7" type="button" dataOnly="0" labelOnly="1" outline="0" axis="axisRow" fieldPosition="0"/>
    </format>
    <format dxfId="372">
      <pivotArea dataOnly="0" labelOnly="1" fieldPosition="0">
        <references count="1">
          <reference field="7" count="0"/>
        </references>
      </pivotArea>
    </format>
    <format dxfId="371">
      <pivotArea dataOnly="0" labelOnly="1" outline="0" axis="axisValues" fieldPosition="0"/>
    </format>
  </formats>
  <chartFormats count="2">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DD6C9D-AFCD-4F75-9414-C51EAAA04AC1}" name="PivotTable9" cacheId="2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56:B160"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4"/>
  </dataFields>
  <formats count="17">
    <format dxfId="404">
      <pivotArea type="all" dataOnly="0" outline="0" fieldPosition="0"/>
    </format>
    <format dxfId="403">
      <pivotArea outline="0" collapsedLevelsAreSubtotals="1" fieldPosition="0"/>
    </format>
    <format dxfId="402">
      <pivotArea dataOnly="0" labelOnly="1" grandRow="1" outline="0" fieldPosition="0"/>
    </format>
    <format dxfId="401">
      <pivotArea outline="0" collapsedLevelsAreSubtotals="1" fieldPosition="0"/>
    </format>
    <format dxfId="400">
      <pivotArea type="all" dataOnly="0" outline="0" fieldPosition="0"/>
    </format>
    <format dxfId="399">
      <pivotArea outline="0" collapsedLevelsAreSubtotals="1" fieldPosition="0"/>
    </format>
    <format dxfId="398">
      <pivotArea field="3" type="button" dataOnly="0" labelOnly="1" outline="0"/>
    </format>
    <format dxfId="397">
      <pivotArea dataOnly="0" labelOnly="1" outline="0" axis="axisValues" fieldPosition="0"/>
    </format>
    <format dxfId="396">
      <pivotArea type="all" dataOnly="0" outline="0" fieldPosition="0"/>
    </format>
    <format dxfId="395">
      <pivotArea outline="0" collapsedLevelsAreSubtotals="1" fieldPosition="0"/>
    </format>
    <format dxfId="394">
      <pivotArea field="5" type="button" dataOnly="0" labelOnly="1" outline="0"/>
    </format>
    <format dxfId="393">
      <pivotArea outline="0" collapsedLevelsAreSubtotals="1" fieldPosition="0"/>
    </format>
    <format dxfId="392">
      <pivotArea type="all" dataOnly="0" outline="0" fieldPosition="0"/>
    </format>
    <format dxfId="391">
      <pivotArea outline="0" collapsedLevelsAreSubtotals="1" fieldPosition="0"/>
    </format>
    <format dxfId="390">
      <pivotArea field="7" type="button" dataOnly="0" labelOnly="1" outline="0" axis="axisRow" fieldPosition="0"/>
    </format>
    <format dxfId="389">
      <pivotArea dataOnly="0" labelOnly="1" fieldPosition="0">
        <references count="1">
          <reference field="7" count="0"/>
        </references>
      </pivotArea>
    </format>
    <format dxfId="38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FC3EE8-F371-4CE6-8F5C-C6D97F10E3A9}" name="PivotTable8" cacheId="2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42:B146"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7"/>
  </dataFields>
  <formats count="13">
    <format dxfId="417">
      <pivotArea type="all" dataOnly="0" outline="0" fieldPosition="0"/>
    </format>
    <format dxfId="416">
      <pivotArea outline="0" collapsedLevelsAreSubtotals="1" fieldPosition="0"/>
    </format>
    <format dxfId="415">
      <pivotArea dataOnly="0" labelOnly="1" grandRow="1" outline="0" fieldPosition="0"/>
    </format>
    <format dxfId="414">
      <pivotArea outline="0" collapsedLevelsAreSubtotals="1" fieldPosition="0"/>
    </format>
    <format dxfId="413">
      <pivotArea type="all" dataOnly="0" outline="0" fieldPosition="0"/>
    </format>
    <format dxfId="412">
      <pivotArea outline="0" collapsedLevelsAreSubtotals="1" fieldPosition="0"/>
    </format>
    <format dxfId="411">
      <pivotArea field="3" type="button" dataOnly="0" labelOnly="1" outline="0"/>
    </format>
    <format dxfId="410">
      <pivotArea dataOnly="0" labelOnly="1" outline="0" axis="axisValues" fieldPosition="0"/>
    </format>
    <format dxfId="409">
      <pivotArea type="all" dataOnly="0" outline="0" fieldPosition="0"/>
    </format>
    <format dxfId="408">
      <pivotArea outline="0" collapsedLevelsAreSubtotals="1" fieldPosition="0"/>
    </format>
    <format dxfId="407">
      <pivotArea field="7" type="button" dataOnly="0" labelOnly="1" outline="0" axis="axisRow" fieldPosition="0"/>
    </format>
    <format dxfId="406">
      <pivotArea dataOnly="0" labelOnly="1" fieldPosition="0">
        <references count="1">
          <reference field="7" count="0"/>
        </references>
      </pivotArea>
    </format>
    <format dxfId="40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AF0622-0E53-4C35-9FEA-873217D6FC20}" name="PivotTable4" cacheId="2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51:B67"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7"/>
  </dataFields>
  <formats count="9">
    <format dxfId="426">
      <pivotArea type="all" dataOnly="0" outline="0" fieldPosition="0"/>
    </format>
    <format dxfId="425">
      <pivotArea outline="0" collapsedLevelsAreSubtotals="1" fieldPosition="0"/>
    </format>
    <format dxfId="424">
      <pivotArea dataOnly="0" labelOnly="1" grandRow="1" outline="0" fieldPosition="0"/>
    </format>
    <format dxfId="423">
      <pivotArea outline="0" collapsedLevelsAreSubtotals="1" fieldPosition="0"/>
    </format>
    <format dxfId="422">
      <pivotArea type="all" dataOnly="0" outline="0" fieldPosition="0"/>
    </format>
    <format dxfId="421">
      <pivotArea outline="0" collapsedLevelsAreSubtotals="1" fieldPosition="0"/>
    </format>
    <format dxfId="420">
      <pivotArea field="2" type="button" dataOnly="0" labelOnly="1" outline="0" axis="axisRow" fieldPosition="0"/>
    </format>
    <format dxfId="419">
      <pivotArea dataOnly="0" labelOnly="1" fieldPosition="0">
        <references count="1">
          <reference field="2" count="0"/>
        </references>
      </pivotArea>
    </format>
    <format dxfId="41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B97BE2-FECF-4F88-9A49-67E5AE71FDD3}" name="PivotTable3" cacheId="2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2:C36"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7"/>
  </dataFields>
  <formats count="13">
    <format dxfId="439">
      <pivotArea type="all" dataOnly="0" outline="0" fieldPosition="0"/>
    </format>
    <format dxfId="438">
      <pivotArea outline="0" collapsedLevelsAreSubtotals="1" fieldPosition="0"/>
    </format>
    <format dxfId="437">
      <pivotArea dataOnly="0" labelOnly="1" grandRow="1" outline="0" fieldPosition="0"/>
    </format>
    <format dxfId="436">
      <pivotArea dataOnly="0" labelOnly="1" outline="0" axis="axisValues" fieldPosition="0"/>
    </format>
    <format dxfId="435">
      <pivotArea outline="0" collapsedLevelsAreSubtotals="1" fieldPosition="0"/>
    </format>
    <format dxfId="434">
      <pivotArea type="all" dataOnly="0" outline="0" fieldPosition="0"/>
    </format>
    <format dxfId="433">
      <pivotArea outline="0" collapsedLevelsAreSubtotals="1" fieldPosition="0"/>
    </format>
    <format dxfId="432">
      <pivotArea type="origin" dataOnly="0" labelOnly="1" outline="0" fieldPosition="0"/>
    </format>
    <format dxfId="431">
      <pivotArea field="0" type="button" dataOnly="0" labelOnly="1" outline="0" axis="axisCol" fieldPosition="0"/>
    </format>
    <format dxfId="430">
      <pivotArea type="topRight" dataOnly="0" labelOnly="1" outline="0" fieldPosition="0"/>
    </format>
    <format dxfId="429">
      <pivotArea field="5" type="button" dataOnly="0" labelOnly="1" outline="0" axis="axisRow" fieldPosition="0"/>
    </format>
    <format dxfId="428">
      <pivotArea dataOnly="0" labelOnly="1" fieldPosition="0">
        <references count="1">
          <reference field="5" count="0"/>
        </references>
      </pivotArea>
    </format>
    <format dxfId="427">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29AA47-797C-431D-8634-8DB89978E71E}" name="PivotTable7" cacheId="25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15:B118"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7"/>
  </dataFields>
  <formats count="13">
    <format dxfId="452">
      <pivotArea type="all" dataOnly="0" outline="0" fieldPosition="0"/>
    </format>
    <format dxfId="451">
      <pivotArea outline="0" collapsedLevelsAreSubtotals="1" fieldPosition="0"/>
    </format>
    <format dxfId="450">
      <pivotArea dataOnly="0" labelOnly="1" grandRow="1" outline="0" fieldPosition="0"/>
    </format>
    <format dxfId="449">
      <pivotArea outline="0" collapsedLevelsAreSubtotals="1" fieldPosition="0"/>
    </format>
    <format dxfId="448">
      <pivotArea type="all" dataOnly="0" outline="0" fieldPosition="0"/>
    </format>
    <format dxfId="447">
      <pivotArea outline="0" collapsedLevelsAreSubtotals="1" fieldPosition="0"/>
    </format>
    <format dxfId="446">
      <pivotArea field="3" type="button" dataOnly="0" labelOnly="1" outline="0"/>
    </format>
    <format dxfId="445">
      <pivotArea dataOnly="0" labelOnly="1" outline="0" axis="axisValues" fieldPosition="0"/>
    </format>
    <format dxfId="444">
      <pivotArea type="all" dataOnly="0" outline="0" fieldPosition="0"/>
    </format>
    <format dxfId="443">
      <pivotArea outline="0" collapsedLevelsAreSubtotals="1" fieldPosition="0"/>
    </format>
    <format dxfId="442">
      <pivotArea field="5" type="button" dataOnly="0" labelOnly="1" outline="0" axis="axisRow" fieldPosition="0"/>
    </format>
    <format dxfId="441">
      <pivotArea dataOnly="0" labelOnly="1" fieldPosition="0">
        <references count="1">
          <reference field="5" count="0"/>
        </references>
      </pivotArea>
    </format>
    <format dxfId="44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13F6EC-1683-4208-8997-F31C3C7564EF}" name="PivotTable1"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dataField name="Count of Item Identifier" fld="1" subtotal="count" baseField="0" baseItem="0"/>
    <dataField name="Average of Rating" fld="11" subtotal="average" baseField="0" baseItem="2"/>
  </dataFields>
  <formats count="3">
    <format dxfId="455">
      <pivotArea type="all" dataOnly="0" outline="0" fieldPosition="0"/>
    </format>
    <format dxfId="454">
      <pivotArea outline="0" collapsedLevelsAreSubtotals="1" fieldPosition="0"/>
    </format>
    <format dxfId="45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5E91B8F-948F-489B-8CD0-C553B6544DC1}"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6072589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9979B10-0608-4792-8103-5E23CD352FAA}" sourceName="Item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0725895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D8D0219-0DB2-45F6-AD9C-EF4449225BE6}" sourceName="Outlet Location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0725895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5786E5F-CDC9-4AFD-8294-F330F527EE3E}" cache="Slicer_Outlet_Size" caption="Outlet Size" rowHeight="260350"/>
  <slicer name="Item Type" xr10:uid="{66618109-603B-4869-B32E-B948379D3821}" cache="Slicer_Item_Type" caption="Item Type" rowHeight="260350"/>
  <slicer name="Outlet Location Type" xr10:uid="{34EF0AAF-9256-4A08-9153-55BFA13242C9}"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9ACAC32-6D26-4B86-A9B8-A9C0B6807502}" cache="Slicer_Outlet_Size" caption="Outlet Size" style="Blinkit Analysis" rowHeight="260350"/>
  <slicer name="Item Type 1" xr10:uid="{4E04D71B-2FC9-4301-A117-71F1EB4AAEA9}" cache="Slicer_Item_Type" caption="Item Type" style="Blinkit Analysis" rowHeight="260350"/>
  <slicer name="Outlet Location Type 1" xr10:uid="{274AF45E-C2F8-4289-BFAB-85E1733BF47B}" cache="Slicer_Outlet_Location_Type" caption="Outlet Location"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325F0-417F-478D-AA40-C4B6876C2BC3}">
  <dimension ref="A1:I236"/>
  <sheetViews>
    <sheetView zoomScale="70" zoomScaleNormal="70" workbookViewId="0"/>
  </sheetViews>
  <sheetFormatPr defaultRowHeight="15.6" x14ac:dyDescent="0.3"/>
  <cols>
    <col min="1" max="1" width="17.296875" bestFit="1" customWidth="1"/>
    <col min="2" max="2" width="21" bestFit="1" customWidth="1"/>
    <col min="3" max="3" width="7.5" bestFit="1" customWidth="1"/>
    <col min="4" max="4" width="16" bestFit="1" customWidth="1"/>
    <col min="5" max="5" width="15.69921875" bestFit="1" customWidth="1"/>
  </cols>
  <sheetData>
    <row r="1" spans="1:5" ht="16.2" thickBot="1" x14ac:dyDescent="0.35"/>
    <row r="2" spans="1:5" ht="16.2" thickBot="1" x14ac:dyDescent="0.35">
      <c r="A2" s="36" t="s">
        <v>1618</v>
      </c>
      <c r="B2" s="37"/>
      <c r="C2" s="37"/>
      <c r="D2" s="37"/>
      <c r="E2" s="38"/>
    </row>
    <row r="3" spans="1:5" ht="16.2" thickBot="1" x14ac:dyDescent="0.35">
      <c r="A3" s="12" t="s">
        <v>1610</v>
      </c>
      <c r="B3" s="13" t="s">
        <v>1612</v>
      </c>
      <c r="C3" s="13" t="s">
        <v>1611</v>
      </c>
      <c r="D3" s="14" t="s">
        <v>1613</v>
      </c>
      <c r="E3" s="5"/>
    </row>
    <row r="4" spans="1:5" ht="16.2" thickBot="1" x14ac:dyDescent="0.35">
      <c r="A4" s="42">
        <v>1201681.4928000034</v>
      </c>
      <c r="B4" s="43">
        <v>140.99278338613203</v>
      </c>
      <c r="C4" s="43">
        <v>8523</v>
      </c>
      <c r="D4" s="44">
        <v>3.9658570925731196</v>
      </c>
      <c r="E4" s="5"/>
    </row>
    <row r="5" spans="1:5" x14ac:dyDescent="0.3">
      <c r="A5" s="4"/>
      <c r="E5" s="5"/>
    </row>
    <row r="6" spans="1:5" x14ac:dyDescent="0.3">
      <c r="A6" s="4"/>
      <c r="E6" s="5"/>
    </row>
    <row r="7" spans="1:5" x14ac:dyDescent="0.3">
      <c r="A7" s="4" t="s">
        <v>1614</v>
      </c>
      <c r="B7" t="s">
        <v>1615</v>
      </c>
      <c r="C7" t="s">
        <v>1616</v>
      </c>
      <c r="D7" t="s">
        <v>1617</v>
      </c>
      <c r="E7" s="5"/>
    </row>
    <row r="8" spans="1:5" x14ac:dyDescent="0.3">
      <c r="A8" s="15">
        <f>GETPIVOTDATA("Sum of Sales",$A$3)</f>
        <v>1201681.4928000034</v>
      </c>
      <c r="B8" s="6">
        <f>GETPIVOTDATA("Average of Sales",$A$3)</f>
        <v>140.99278338613203</v>
      </c>
      <c r="C8">
        <f>GETPIVOTDATA("Count of Item Identifier",$A$3)</f>
        <v>8523</v>
      </c>
      <c r="D8" s="7">
        <f>GETPIVOTDATA("Average of Rating",$A$3)</f>
        <v>3.9658570925731196</v>
      </c>
      <c r="E8" s="5"/>
    </row>
    <row r="9" spans="1:5" ht="16.2" thickBot="1" x14ac:dyDescent="0.35">
      <c r="A9" s="8"/>
      <c r="B9" s="9"/>
      <c r="C9" s="9"/>
      <c r="D9" s="9"/>
      <c r="E9" s="10"/>
    </row>
    <row r="13" spans="1:5" x14ac:dyDescent="0.3">
      <c r="D13" s="11"/>
    </row>
    <row r="14" spans="1:5" ht="16.2" thickBot="1" x14ac:dyDescent="0.35"/>
    <row r="15" spans="1:5" x14ac:dyDescent="0.3">
      <c r="A15" s="33" t="s">
        <v>1620</v>
      </c>
      <c r="B15" s="34"/>
      <c r="C15" s="34"/>
      <c r="D15" s="34"/>
      <c r="E15" s="35"/>
    </row>
    <row r="16" spans="1:5" x14ac:dyDescent="0.3">
      <c r="A16" s="4"/>
      <c r="E16" s="5"/>
    </row>
    <row r="17" spans="1:8" ht="16.2" thickBot="1" x14ac:dyDescent="0.35">
      <c r="A17" s="4"/>
      <c r="E17" s="5"/>
    </row>
    <row r="18" spans="1:8" ht="16.2" thickBot="1" x14ac:dyDescent="0.35">
      <c r="A18" s="16" t="s">
        <v>1619</v>
      </c>
      <c r="B18" s="19" t="s">
        <v>1610</v>
      </c>
      <c r="E18" s="5"/>
    </row>
    <row r="19" spans="1:8" x14ac:dyDescent="0.3">
      <c r="A19" s="17" t="s">
        <v>17</v>
      </c>
      <c r="B19" s="20">
        <v>776319.68840000057</v>
      </c>
      <c r="E19" s="5"/>
    </row>
    <row r="20" spans="1:8" ht="16.2" thickBot="1" x14ac:dyDescent="0.35">
      <c r="A20" s="18" t="s">
        <v>10</v>
      </c>
      <c r="B20" s="21">
        <v>425361.8043999995</v>
      </c>
      <c r="E20" s="5"/>
    </row>
    <row r="21" spans="1:8" x14ac:dyDescent="0.3">
      <c r="E21" s="5"/>
    </row>
    <row r="22" spans="1:8" x14ac:dyDescent="0.3">
      <c r="A22" s="4"/>
      <c r="E22" s="5"/>
    </row>
    <row r="23" spans="1:8" x14ac:dyDescent="0.3">
      <c r="A23" s="4"/>
      <c r="E23" s="5"/>
    </row>
    <row r="24" spans="1:8" x14ac:dyDescent="0.3">
      <c r="A24" s="4"/>
      <c r="E24" s="5"/>
    </row>
    <row r="25" spans="1:8" x14ac:dyDescent="0.3">
      <c r="A25" s="4"/>
      <c r="E25" s="5"/>
    </row>
    <row r="26" spans="1:8" x14ac:dyDescent="0.3">
      <c r="A26" s="4"/>
      <c r="E26" s="5"/>
    </row>
    <row r="27" spans="1:8" ht="16.2" thickBot="1" x14ac:dyDescent="0.35">
      <c r="A27" s="8"/>
      <c r="B27" s="9"/>
      <c r="C27" s="9"/>
      <c r="D27" s="9"/>
      <c r="E27" s="10"/>
    </row>
    <row r="28" spans="1:8" ht="16.2" thickBot="1" x14ac:dyDescent="0.35"/>
    <row r="29" spans="1:8" x14ac:dyDescent="0.3">
      <c r="A29" s="1"/>
      <c r="B29" s="2"/>
      <c r="C29" s="2"/>
      <c r="D29" s="2"/>
      <c r="E29" s="2"/>
      <c r="F29" s="2"/>
      <c r="G29" s="2"/>
      <c r="H29" s="3"/>
    </row>
    <row r="30" spans="1:8" x14ac:dyDescent="0.3">
      <c r="A30" s="39" t="s">
        <v>1623</v>
      </c>
      <c r="B30" s="40"/>
      <c r="C30" s="40"/>
      <c r="D30" s="40"/>
      <c r="E30" s="40"/>
      <c r="F30" s="40"/>
      <c r="G30" s="40"/>
      <c r="H30" s="41"/>
    </row>
    <row r="31" spans="1:8" ht="16.2" thickBot="1" x14ac:dyDescent="0.35">
      <c r="A31" s="4"/>
      <c r="H31" s="5"/>
    </row>
    <row r="32" spans="1:8" ht="16.2" thickBot="1" x14ac:dyDescent="0.35">
      <c r="A32" s="16" t="s">
        <v>1610</v>
      </c>
      <c r="B32" s="16" t="s">
        <v>1622</v>
      </c>
      <c r="C32" s="19"/>
      <c r="H32" s="5"/>
    </row>
    <row r="33" spans="1:8" ht="16.2" thickBot="1" x14ac:dyDescent="0.35">
      <c r="A33" s="16" t="s">
        <v>1619</v>
      </c>
      <c r="B33" s="12" t="s">
        <v>10</v>
      </c>
      <c r="C33" s="14" t="s">
        <v>17</v>
      </c>
      <c r="H33" s="5"/>
    </row>
    <row r="34" spans="1:8" x14ac:dyDescent="0.3">
      <c r="A34" s="17" t="s">
        <v>14</v>
      </c>
      <c r="B34" s="25">
        <v>121349.89940000001</v>
      </c>
      <c r="C34" s="26">
        <v>215047.9126000001</v>
      </c>
      <c r="H34" s="5"/>
    </row>
    <row r="35" spans="1:8" x14ac:dyDescent="0.3">
      <c r="A35" s="29" t="s">
        <v>34</v>
      </c>
      <c r="B35" s="27">
        <v>138685.86819999994</v>
      </c>
      <c r="C35" s="22">
        <v>254464.77940000014</v>
      </c>
      <c r="H35" s="5"/>
    </row>
    <row r="36" spans="1:8" ht="16.2" thickBot="1" x14ac:dyDescent="0.35">
      <c r="A36" s="18" t="s">
        <v>21</v>
      </c>
      <c r="B36" s="28">
        <v>165326.0368</v>
      </c>
      <c r="C36" s="23">
        <v>306806.99640000012</v>
      </c>
      <c r="H36" s="5"/>
    </row>
    <row r="37" spans="1:8" x14ac:dyDescent="0.3">
      <c r="A37" s="4"/>
      <c r="H37" s="5"/>
    </row>
    <row r="38" spans="1:8" x14ac:dyDescent="0.3">
      <c r="A38" s="4"/>
      <c r="H38" s="5"/>
    </row>
    <row r="39" spans="1:8" x14ac:dyDescent="0.3">
      <c r="A39" s="4"/>
      <c r="H39" s="5"/>
    </row>
    <row r="40" spans="1:8" x14ac:dyDescent="0.3">
      <c r="A40" s="4"/>
      <c r="H40" s="5"/>
    </row>
    <row r="41" spans="1:8" x14ac:dyDescent="0.3">
      <c r="A41" s="4"/>
      <c r="H41" s="5"/>
    </row>
    <row r="42" spans="1:8" x14ac:dyDescent="0.3">
      <c r="A42" s="4"/>
      <c r="H42" s="5"/>
    </row>
    <row r="43" spans="1:8" x14ac:dyDescent="0.3">
      <c r="A43" s="4"/>
      <c r="H43" s="5"/>
    </row>
    <row r="44" spans="1:8" x14ac:dyDescent="0.3">
      <c r="A44" s="4"/>
      <c r="H44" s="5"/>
    </row>
    <row r="45" spans="1:8" ht="16.2" thickBot="1" x14ac:dyDescent="0.35">
      <c r="A45" s="8"/>
      <c r="B45" s="9"/>
      <c r="C45" s="9"/>
      <c r="D45" s="9"/>
      <c r="E45" s="9"/>
      <c r="F45" s="9"/>
      <c r="G45" s="9"/>
      <c r="H45" s="10"/>
    </row>
    <row r="48" spans="1:8" ht="16.2" thickBot="1" x14ac:dyDescent="0.35"/>
    <row r="49" spans="1:9" x14ac:dyDescent="0.3">
      <c r="A49" s="33" t="s">
        <v>1621</v>
      </c>
      <c r="B49" s="34"/>
      <c r="C49" s="34"/>
      <c r="D49" s="34"/>
      <c r="E49" s="34"/>
      <c r="F49" s="34"/>
      <c r="G49" s="34"/>
      <c r="H49" s="34"/>
      <c r="I49" s="35"/>
    </row>
    <row r="50" spans="1:9" ht="16.2" thickBot="1" x14ac:dyDescent="0.35">
      <c r="A50" s="4"/>
      <c r="I50" s="5"/>
    </row>
    <row r="51" spans="1:9" ht="16.2" thickBot="1" x14ac:dyDescent="0.35">
      <c r="A51" s="16" t="s">
        <v>1619</v>
      </c>
      <c r="B51" s="19" t="s">
        <v>1610</v>
      </c>
      <c r="I51" s="5"/>
    </row>
    <row r="52" spans="1:9" x14ac:dyDescent="0.3">
      <c r="A52" s="17" t="s">
        <v>153</v>
      </c>
      <c r="B52" s="20">
        <v>9077.869999999999</v>
      </c>
      <c r="I52" s="5"/>
    </row>
    <row r="53" spans="1:9" x14ac:dyDescent="0.3">
      <c r="A53" s="29" t="s">
        <v>74</v>
      </c>
      <c r="B53" s="24">
        <v>15596.696600000001</v>
      </c>
      <c r="I53" s="5"/>
    </row>
    <row r="54" spans="1:9" x14ac:dyDescent="0.3">
      <c r="A54" s="29" t="s">
        <v>159</v>
      </c>
      <c r="B54" s="24">
        <v>21880.027399999992</v>
      </c>
      <c r="I54" s="5"/>
    </row>
    <row r="55" spans="1:9" x14ac:dyDescent="0.3">
      <c r="A55" s="29" t="s">
        <v>64</v>
      </c>
      <c r="B55" s="24">
        <v>22451.891599999999</v>
      </c>
      <c r="I55" s="5"/>
    </row>
    <row r="56" spans="1:9" x14ac:dyDescent="0.3">
      <c r="A56" s="29" t="s">
        <v>61</v>
      </c>
      <c r="B56" s="24">
        <v>29334.680599999996</v>
      </c>
      <c r="I56" s="5"/>
    </row>
    <row r="57" spans="1:9" x14ac:dyDescent="0.3">
      <c r="A57" s="29" t="s">
        <v>57</v>
      </c>
      <c r="B57" s="24">
        <v>35379.119800000015</v>
      </c>
      <c r="I57" s="5"/>
    </row>
    <row r="58" spans="1:9" x14ac:dyDescent="0.3">
      <c r="A58" s="29" t="s">
        <v>32</v>
      </c>
      <c r="B58" s="24">
        <v>58514.166999999987</v>
      </c>
      <c r="I58" s="5"/>
    </row>
    <row r="59" spans="1:9" x14ac:dyDescent="0.3">
      <c r="A59" s="29" t="s">
        <v>54</v>
      </c>
      <c r="B59" s="24">
        <v>59449.863799999992</v>
      </c>
      <c r="I59" s="5"/>
    </row>
    <row r="60" spans="1:9" x14ac:dyDescent="0.3">
      <c r="A60" s="29" t="s">
        <v>19</v>
      </c>
      <c r="B60" s="24">
        <v>68025.838800000012</v>
      </c>
      <c r="I60" s="5"/>
    </row>
    <row r="61" spans="1:9" x14ac:dyDescent="0.3">
      <c r="A61" s="29" t="s">
        <v>95</v>
      </c>
      <c r="B61" s="24">
        <v>81894.736400000009</v>
      </c>
      <c r="I61" s="5"/>
    </row>
    <row r="62" spans="1:9" x14ac:dyDescent="0.3">
      <c r="A62" s="29" t="s">
        <v>28</v>
      </c>
      <c r="B62" s="24">
        <v>90706.728999999992</v>
      </c>
      <c r="I62" s="5"/>
    </row>
    <row r="63" spans="1:9" x14ac:dyDescent="0.3">
      <c r="A63" s="29" t="s">
        <v>67</v>
      </c>
      <c r="B63" s="24">
        <v>101276.46159999995</v>
      </c>
      <c r="I63" s="5"/>
    </row>
    <row r="64" spans="1:9" x14ac:dyDescent="0.3">
      <c r="A64" s="29" t="s">
        <v>24</v>
      </c>
      <c r="B64" s="24">
        <v>118558.88140000009</v>
      </c>
      <c r="I64" s="5"/>
    </row>
    <row r="65" spans="1:9" x14ac:dyDescent="0.3">
      <c r="A65" s="29" t="s">
        <v>42</v>
      </c>
      <c r="B65" s="24">
        <v>135976.52539999998</v>
      </c>
      <c r="I65" s="5"/>
    </row>
    <row r="66" spans="1:9" x14ac:dyDescent="0.3">
      <c r="A66" s="29" t="s">
        <v>48</v>
      </c>
      <c r="B66" s="24">
        <v>175433.92240000021</v>
      </c>
      <c r="I66" s="5"/>
    </row>
    <row r="67" spans="1:9" ht="16.2" thickBot="1" x14ac:dyDescent="0.35">
      <c r="A67" s="18" t="s">
        <v>12</v>
      </c>
      <c r="B67" s="21">
        <v>178124.08099999995</v>
      </c>
      <c r="I67" s="5"/>
    </row>
    <row r="68" spans="1:9" x14ac:dyDescent="0.3">
      <c r="A68" s="4"/>
      <c r="I68" s="5"/>
    </row>
    <row r="69" spans="1:9" ht="16.2" thickBot="1" x14ac:dyDescent="0.35">
      <c r="A69" s="8"/>
      <c r="B69" s="9"/>
      <c r="C69" s="9"/>
      <c r="D69" s="9"/>
      <c r="E69" s="9"/>
      <c r="F69" s="9"/>
      <c r="G69" s="9"/>
      <c r="H69" s="9"/>
      <c r="I69" s="10"/>
    </row>
    <row r="73" spans="1:9" ht="16.2" thickBot="1" x14ac:dyDescent="0.35"/>
    <row r="74" spans="1:9" x14ac:dyDescent="0.3">
      <c r="A74" s="33" t="s">
        <v>1624</v>
      </c>
      <c r="B74" s="34"/>
      <c r="C74" s="34"/>
      <c r="D74" s="34"/>
      <c r="E74" s="34"/>
      <c r="F74" s="34"/>
      <c r="G74" s="34"/>
      <c r="H74" s="34"/>
      <c r="I74" s="35"/>
    </row>
    <row r="75" spans="1:9" ht="16.2" thickBot="1" x14ac:dyDescent="0.35">
      <c r="A75" s="4"/>
      <c r="I75" s="5"/>
    </row>
    <row r="76" spans="1:9" ht="16.2" thickBot="1" x14ac:dyDescent="0.35">
      <c r="A76" s="16" t="s">
        <v>1619</v>
      </c>
      <c r="B76" s="19" t="s">
        <v>1610</v>
      </c>
      <c r="I76" s="5"/>
    </row>
    <row r="77" spans="1:9" x14ac:dyDescent="0.3">
      <c r="A77" s="17">
        <v>2011</v>
      </c>
      <c r="B77" s="20">
        <v>78131.566599999976</v>
      </c>
      <c r="I77" s="5"/>
    </row>
    <row r="78" spans="1:9" x14ac:dyDescent="0.3">
      <c r="A78" s="29">
        <v>2012</v>
      </c>
      <c r="B78" s="24">
        <v>130476.85979999998</v>
      </c>
      <c r="I78" s="5"/>
    </row>
    <row r="79" spans="1:9" x14ac:dyDescent="0.3">
      <c r="A79" s="29">
        <v>2014</v>
      </c>
      <c r="B79" s="24">
        <v>131809.01560000007</v>
      </c>
      <c r="I79" s="5"/>
    </row>
    <row r="80" spans="1:9" x14ac:dyDescent="0.3">
      <c r="A80" s="29">
        <v>2015</v>
      </c>
      <c r="B80" s="24">
        <v>130942.78019999999</v>
      </c>
      <c r="I80" s="5"/>
    </row>
    <row r="81" spans="1:9" x14ac:dyDescent="0.3">
      <c r="A81" s="29">
        <v>2016</v>
      </c>
      <c r="B81" s="24">
        <v>132113.36980000007</v>
      </c>
      <c r="I81" s="5"/>
    </row>
    <row r="82" spans="1:9" x14ac:dyDescent="0.3">
      <c r="A82" s="29">
        <v>2017</v>
      </c>
      <c r="B82" s="24">
        <v>133103.90699999989</v>
      </c>
      <c r="I82" s="5"/>
    </row>
    <row r="83" spans="1:9" x14ac:dyDescent="0.3">
      <c r="A83" s="29">
        <v>2018</v>
      </c>
      <c r="B83" s="24">
        <v>204522.25700000025</v>
      </c>
      <c r="I83" s="5"/>
    </row>
    <row r="84" spans="1:9" x14ac:dyDescent="0.3">
      <c r="A84" s="29">
        <v>2020</v>
      </c>
      <c r="B84" s="24">
        <v>129103.96039999987</v>
      </c>
      <c r="I84" s="5"/>
    </row>
    <row r="85" spans="1:9" ht="16.2" thickBot="1" x14ac:dyDescent="0.35">
      <c r="A85" s="18">
        <v>2022</v>
      </c>
      <c r="B85" s="21">
        <v>131477.77639999994</v>
      </c>
      <c r="I85" s="5"/>
    </row>
    <row r="86" spans="1:9" x14ac:dyDescent="0.3">
      <c r="A86" s="4"/>
      <c r="I86" s="5"/>
    </row>
    <row r="87" spans="1:9" x14ac:dyDescent="0.3">
      <c r="A87" s="4"/>
      <c r="I87" s="5"/>
    </row>
    <row r="88" spans="1:9" x14ac:dyDescent="0.3">
      <c r="A88" s="4"/>
      <c r="I88" s="5"/>
    </row>
    <row r="89" spans="1:9" ht="16.2" thickBot="1" x14ac:dyDescent="0.35">
      <c r="A89" s="8"/>
      <c r="B89" s="9"/>
      <c r="C89" s="9"/>
      <c r="D89" s="9"/>
      <c r="E89" s="9"/>
      <c r="F89" s="9"/>
      <c r="G89" s="9"/>
      <c r="H89" s="9"/>
      <c r="I89" s="10"/>
    </row>
    <row r="92" spans="1:9" ht="16.2" thickBot="1" x14ac:dyDescent="0.35"/>
    <row r="93" spans="1:9" x14ac:dyDescent="0.3">
      <c r="A93" s="33" t="s">
        <v>1624</v>
      </c>
      <c r="B93" s="34"/>
      <c r="C93" s="34"/>
      <c r="D93" s="34"/>
      <c r="E93" s="34"/>
      <c r="F93" s="34"/>
      <c r="G93" s="34"/>
      <c r="H93" s="34"/>
      <c r="I93" s="35"/>
    </row>
    <row r="94" spans="1:9" x14ac:dyDescent="0.3">
      <c r="A94" s="4"/>
      <c r="I94" s="5"/>
    </row>
    <row r="95" spans="1:9" ht="16.2" thickBot="1" x14ac:dyDescent="0.35">
      <c r="A95" s="4"/>
      <c r="I95" s="5"/>
    </row>
    <row r="96" spans="1:9" ht="16.2" thickBot="1" x14ac:dyDescent="0.35">
      <c r="A96" s="16" t="s">
        <v>1619</v>
      </c>
      <c r="B96" s="19" t="s">
        <v>1610</v>
      </c>
      <c r="I96" s="5"/>
    </row>
    <row r="97" spans="1:9" x14ac:dyDescent="0.3">
      <c r="A97" s="29" t="s">
        <v>30</v>
      </c>
      <c r="B97" s="20">
        <v>248991.58600000024</v>
      </c>
      <c r="I97" s="5"/>
    </row>
    <row r="98" spans="1:9" x14ac:dyDescent="0.3">
      <c r="A98" s="29" t="s">
        <v>15</v>
      </c>
      <c r="B98" s="24">
        <v>507895.7363999993</v>
      </c>
      <c r="I98" s="5"/>
    </row>
    <row r="99" spans="1:9" ht="16.2" thickBot="1" x14ac:dyDescent="0.35">
      <c r="A99" s="18" t="s">
        <v>26</v>
      </c>
      <c r="B99" s="21">
        <v>444794.17039999936</v>
      </c>
      <c r="I99" s="5"/>
    </row>
    <row r="100" spans="1:9" x14ac:dyDescent="0.3">
      <c r="A100" s="4"/>
      <c r="I100" s="5"/>
    </row>
    <row r="101" spans="1:9" x14ac:dyDescent="0.3">
      <c r="A101" s="4"/>
      <c r="I101" s="5"/>
    </row>
    <row r="102" spans="1:9" x14ac:dyDescent="0.3">
      <c r="A102" s="4"/>
      <c r="I102" s="5"/>
    </row>
    <row r="103" spans="1:9" x14ac:dyDescent="0.3">
      <c r="A103" s="4"/>
      <c r="I103" s="5"/>
    </row>
    <row r="104" spans="1:9" x14ac:dyDescent="0.3">
      <c r="A104" s="4"/>
      <c r="I104" s="5"/>
    </row>
    <row r="105" spans="1:9" x14ac:dyDescent="0.3">
      <c r="A105" s="4"/>
      <c r="I105" s="5"/>
    </row>
    <row r="106" spans="1:9" x14ac:dyDescent="0.3">
      <c r="A106" s="4"/>
      <c r="I106" s="5"/>
    </row>
    <row r="107" spans="1:9" x14ac:dyDescent="0.3">
      <c r="A107" s="4"/>
      <c r="I107" s="5"/>
    </row>
    <row r="108" spans="1:9" x14ac:dyDescent="0.3">
      <c r="A108" s="4"/>
      <c r="I108" s="5"/>
    </row>
    <row r="109" spans="1:9" ht="16.2" thickBot="1" x14ac:dyDescent="0.35">
      <c r="A109" s="8"/>
      <c r="B109" s="9"/>
      <c r="C109" s="9"/>
      <c r="D109" s="9"/>
      <c r="E109" s="9"/>
      <c r="F109" s="9"/>
      <c r="G109" s="9"/>
      <c r="H109" s="9"/>
      <c r="I109" s="10"/>
    </row>
    <row r="111" spans="1:9" ht="16.2" thickBot="1" x14ac:dyDescent="0.35"/>
    <row r="112" spans="1:9" ht="16.2" thickBot="1" x14ac:dyDescent="0.35"/>
    <row r="113" spans="1:9" x14ac:dyDescent="0.3">
      <c r="A113" s="33" t="s">
        <v>1627</v>
      </c>
      <c r="B113" s="34"/>
      <c r="C113" s="34"/>
      <c r="D113" s="34"/>
      <c r="E113" s="34"/>
      <c r="F113" s="34"/>
      <c r="G113" s="34"/>
      <c r="H113" s="34"/>
      <c r="I113" s="35"/>
    </row>
    <row r="114" spans="1:9" ht="16.2" thickBot="1" x14ac:dyDescent="0.35">
      <c r="A114" s="4"/>
      <c r="I114" s="5"/>
    </row>
    <row r="115" spans="1:9" ht="16.2" thickBot="1" x14ac:dyDescent="0.35">
      <c r="A115" s="16" t="s">
        <v>1619</v>
      </c>
      <c r="B115" s="19" t="s">
        <v>1610</v>
      </c>
      <c r="D115" s="1" t="s">
        <v>1625</v>
      </c>
      <c r="E115" s="3" t="s">
        <v>1626</v>
      </c>
      <c r="I115" s="5"/>
    </row>
    <row r="116" spans="1:9" x14ac:dyDescent="0.3">
      <c r="A116" s="29" t="s">
        <v>21</v>
      </c>
      <c r="B116" s="20">
        <v>472133.03319999954</v>
      </c>
      <c r="D116" s="4" t="str">
        <f>A116</f>
        <v>Tier 3</v>
      </c>
      <c r="E116" s="22">
        <f>GETPIVOTDATA("Sales",$A$115,"Outlet Location Type",A116)</f>
        <v>472133.03319999954</v>
      </c>
      <c r="I116" s="5"/>
    </row>
    <row r="117" spans="1:9" x14ac:dyDescent="0.3">
      <c r="A117" s="29" t="s">
        <v>34</v>
      </c>
      <c r="B117" s="24">
        <v>393150.64759999956</v>
      </c>
      <c r="D117" s="4" t="str">
        <f>A117</f>
        <v>Tier 2</v>
      </c>
      <c r="E117" s="22">
        <f>GETPIVOTDATA("Sales",$A$115,"Outlet Location Type",A117)</f>
        <v>393150.64759999956</v>
      </c>
      <c r="I117" s="5"/>
    </row>
    <row r="118" spans="1:9" ht="16.2" thickBot="1" x14ac:dyDescent="0.35">
      <c r="A118" s="18" t="s">
        <v>14</v>
      </c>
      <c r="B118" s="21">
        <v>336397.81199999945</v>
      </c>
      <c r="D118" s="8" t="str">
        <f>A118</f>
        <v>Tier 1</v>
      </c>
      <c r="E118" s="23">
        <f>GETPIVOTDATA("Sales",$A$115,"Outlet Location Type",A118)</f>
        <v>336397.81199999945</v>
      </c>
      <c r="I118" s="5"/>
    </row>
    <row r="119" spans="1:9" x14ac:dyDescent="0.3">
      <c r="A119" s="4"/>
      <c r="I119" s="5"/>
    </row>
    <row r="120" spans="1:9" x14ac:dyDescent="0.3">
      <c r="A120" s="4"/>
      <c r="I120" s="5"/>
    </row>
    <row r="121" spans="1:9" x14ac:dyDescent="0.3">
      <c r="A121" s="4"/>
      <c r="I121" s="5"/>
    </row>
    <row r="122" spans="1:9" x14ac:dyDescent="0.3">
      <c r="A122" s="4"/>
      <c r="I122" s="5"/>
    </row>
    <row r="123" spans="1:9" x14ac:dyDescent="0.3">
      <c r="A123" s="4"/>
      <c r="I123" s="5"/>
    </row>
    <row r="124" spans="1:9" x14ac:dyDescent="0.3">
      <c r="A124" s="4"/>
      <c r="I124" s="5"/>
    </row>
    <row r="125" spans="1:9" x14ac:dyDescent="0.3">
      <c r="A125" s="4"/>
      <c r="I125" s="5"/>
    </row>
    <row r="126" spans="1:9" x14ac:dyDescent="0.3">
      <c r="A126" s="4"/>
      <c r="I126" s="5"/>
    </row>
    <row r="127" spans="1:9" x14ac:dyDescent="0.3">
      <c r="A127" s="4"/>
      <c r="I127" s="5"/>
    </row>
    <row r="128" spans="1:9" x14ac:dyDescent="0.3">
      <c r="A128" s="4"/>
      <c r="I128" s="5"/>
    </row>
    <row r="129" spans="1:9" x14ac:dyDescent="0.3">
      <c r="A129" s="4"/>
      <c r="I129" s="5"/>
    </row>
    <row r="130" spans="1:9" x14ac:dyDescent="0.3">
      <c r="A130" s="4"/>
      <c r="I130" s="5"/>
    </row>
    <row r="131" spans="1:9" x14ac:dyDescent="0.3">
      <c r="A131" s="4"/>
      <c r="I131" s="5"/>
    </row>
    <row r="132" spans="1:9" x14ac:dyDescent="0.3">
      <c r="A132" s="4"/>
      <c r="I132" s="5"/>
    </row>
    <row r="133" spans="1:9" x14ac:dyDescent="0.3">
      <c r="A133" s="4"/>
      <c r="I133" s="5"/>
    </row>
    <row r="134" spans="1:9" x14ac:dyDescent="0.3">
      <c r="A134" s="4"/>
      <c r="I134" s="5"/>
    </row>
    <row r="135" spans="1:9" ht="16.2" thickBot="1" x14ac:dyDescent="0.35">
      <c r="A135" s="8"/>
      <c r="B135" s="9"/>
      <c r="C135" s="9"/>
      <c r="D135" s="9"/>
      <c r="E135" s="9"/>
      <c r="F135" s="9"/>
      <c r="G135" s="9"/>
      <c r="H135" s="9"/>
      <c r="I135" s="10"/>
    </row>
    <row r="137" spans="1:9" ht="16.2" thickBot="1" x14ac:dyDescent="0.35"/>
    <row r="138" spans="1:9" x14ac:dyDescent="0.3">
      <c r="A138" s="33" t="s">
        <v>1628</v>
      </c>
      <c r="B138" s="34"/>
      <c r="C138" s="34"/>
      <c r="D138" s="34"/>
      <c r="E138" s="34"/>
      <c r="F138" s="34"/>
      <c r="G138" s="34"/>
      <c r="H138" s="34"/>
      <c r="I138" s="35"/>
    </row>
    <row r="139" spans="1:9" x14ac:dyDescent="0.3">
      <c r="A139" s="4"/>
      <c r="I139" s="5"/>
    </row>
    <row r="140" spans="1:9" x14ac:dyDescent="0.3">
      <c r="A140" s="4"/>
      <c r="I140" s="5"/>
    </row>
    <row r="141" spans="1:9" ht="16.2" thickBot="1" x14ac:dyDescent="0.35">
      <c r="A141" s="4"/>
      <c r="I141" s="5"/>
    </row>
    <row r="142" spans="1:9" ht="16.2" thickBot="1" x14ac:dyDescent="0.35">
      <c r="A142" s="16" t="s">
        <v>1619</v>
      </c>
      <c r="B142" s="19" t="s">
        <v>1610</v>
      </c>
      <c r="I142" s="5"/>
    </row>
    <row r="143" spans="1:9" x14ac:dyDescent="0.3">
      <c r="A143" s="29" t="s">
        <v>40</v>
      </c>
      <c r="B143" s="20">
        <v>151939.149</v>
      </c>
      <c r="I143" s="5"/>
    </row>
    <row r="144" spans="1:9" x14ac:dyDescent="0.3">
      <c r="A144" s="29" t="s">
        <v>16</v>
      </c>
      <c r="B144" s="24">
        <v>787549.89280000131</v>
      </c>
      <c r="I144" s="5"/>
    </row>
    <row r="145" spans="1:9" x14ac:dyDescent="0.3">
      <c r="A145" s="29" t="s">
        <v>22</v>
      </c>
      <c r="B145" s="24">
        <v>131477.77639999994</v>
      </c>
      <c r="I145" s="5"/>
    </row>
    <row r="146" spans="1:9" ht="16.2" thickBot="1" x14ac:dyDescent="0.35">
      <c r="A146" s="18" t="s">
        <v>46</v>
      </c>
      <c r="B146" s="21">
        <v>130714.67460000006</v>
      </c>
      <c r="I146" s="5"/>
    </row>
    <row r="147" spans="1:9" x14ac:dyDescent="0.3">
      <c r="A147" s="4"/>
      <c r="I147" s="5"/>
    </row>
    <row r="148" spans="1:9" x14ac:dyDescent="0.3">
      <c r="A148" s="4"/>
      <c r="I148" s="5"/>
    </row>
    <row r="149" spans="1:9" x14ac:dyDescent="0.3">
      <c r="A149" s="4"/>
      <c r="I149" s="5"/>
    </row>
    <row r="150" spans="1:9" x14ac:dyDescent="0.3">
      <c r="A150" s="4"/>
      <c r="I150" s="5"/>
    </row>
    <row r="151" spans="1:9" x14ac:dyDescent="0.3">
      <c r="A151" s="4"/>
      <c r="I151" s="5"/>
    </row>
    <row r="152" spans="1:9" x14ac:dyDescent="0.3">
      <c r="A152" s="4"/>
      <c r="I152" s="5"/>
    </row>
    <row r="153" spans="1:9" x14ac:dyDescent="0.3">
      <c r="A153" s="4"/>
      <c r="I153" s="5"/>
    </row>
    <row r="154" spans="1:9" x14ac:dyDescent="0.3">
      <c r="A154" s="4"/>
      <c r="I154" s="5"/>
    </row>
    <row r="155" spans="1:9" ht="16.2" thickBot="1" x14ac:dyDescent="0.35">
      <c r="A155" s="4"/>
      <c r="I155" s="5"/>
    </row>
    <row r="156" spans="1:9" ht="16.2" thickBot="1" x14ac:dyDescent="0.35">
      <c r="A156" s="16" t="s">
        <v>1619</v>
      </c>
      <c r="B156" s="19" t="s">
        <v>1612</v>
      </c>
      <c r="I156" s="5"/>
    </row>
    <row r="157" spans="1:9" x14ac:dyDescent="0.3">
      <c r="A157" s="29" t="s">
        <v>40</v>
      </c>
      <c r="B157" s="30">
        <v>140.29468975069253</v>
      </c>
      <c r="I157" s="5"/>
    </row>
    <row r="158" spans="1:9" x14ac:dyDescent="0.3">
      <c r="A158" s="29" t="s">
        <v>16</v>
      </c>
      <c r="B158" s="31">
        <v>141.21389506903375</v>
      </c>
      <c r="I158" s="5"/>
    </row>
    <row r="159" spans="1:9" x14ac:dyDescent="0.3">
      <c r="A159" s="29" t="s">
        <v>22</v>
      </c>
      <c r="B159" s="31">
        <v>141.67863836206891</v>
      </c>
      <c r="I159" s="5"/>
    </row>
    <row r="160" spans="1:9" ht="16.2" thickBot="1" x14ac:dyDescent="0.35">
      <c r="A160" s="18" t="s">
        <v>46</v>
      </c>
      <c r="B160" s="32">
        <v>139.80179101604284</v>
      </c>
      <c r="I160" s="5"/>
    </row>
    <row r="161" spans="1:9" x14ac:dyDescent="0.3">
      <c r="A161" s="4"/>
      <c r="I161" s="5"/>
    </row>
    <row r="162" spans="1:9" x14ac:dyDescent="0.3">
      <c r="A162" s="4"/>
      <c r="I162" s="5"/>
    </row>
    <row r="163" spans="1:9" x14ac:dyDescent="0.3">
      <c r="A163" s="4"/>
      <c r="I163" s="5"/>
    </row>
    <row r="164" spans="1:9" x14ac:dyDescent="0.3">
      <c r="A164" s="4"/>
      <c r="I164" s="5"/>
    </row>
    <row r="165" spans="1:9" x14ac:dyDescent="0.3">
      <c r="A165" s="4"/>
      <c r="I165" s="5"/>
    </row>
    <row r="166" spans="1:9" x14ac:dyDescent="0.3">
      <c r="A166" s="4"/>
      <c r="I166" s="5"/>
    </row>
    <row r="167" spans="1:9" x14ac:dyDescent="0.3">
      <c r="A167" s="4"/>
      <c r="I167" s="5"/>
    </row>
    <row r="168" spans="1:9" x14ac:dyDescent="0.3">
      <c r="A168" s="4"/>
      <c r="I168" s="5"/>
    </row>
    <row r="169" spans="1:9" x14ac:dyDescent="0.3">
      <c r="A169" s="4"/>
      <c r="I169" s="5"/>
    </row>
    <row r="170" spans="1:9" x14ac:dyDescent="0.3">
      <c r="A170" s="4"/>
      <c r="I170" s="5"/>
    </row>
    <row r="171" spans="1:9" x14ac:dyDescent="0.3">
      <c r="A171" s="4"/>
      <c r="I171" s="5"/>
    </row>
    <row r="172" spans="1:9" ht="16.2" thickBot="1" x14ac:dyDescent="0.35">
      <c r="A172" s="4"/>
      <c r="I172" s="5"/>
    </row>
    <row r="173" spans="1:9" ht="16.2" thickBot="1" x14ac:dyDescent="0.35">
      <c r="A173" s="16" t="s">
        <v>1619</v>
      </c>
      <c r="B173" s="19" t="s">
        <v>1611</v>
      </c>
      <c r="I173" s="5"/>
    </row>
    <row r="174" spans="1:9" x14ac:dyDescent="0.3">
      <c r="A174" s="29" t="s">
        <v>40</v>
      </c>
      <c r="B174" s="45">
        <v>1083</v>
      </c>
      <c r="I174" s="5"/>
    </row>
    <row r="175" spans="1:9" x14ac:dyDescent="0.3">
      <c r="A175" s="29" t="s">
        <v>16</v>
      </c>
      <c r="B175" s="47">
        <v>5577</v>
      </c>
      <c r="I175" s="5"/>
    </row>
    <row r="176" spans="1:9" x14ac:dyDescent="0.3">
      <c r="A176" s="29" t="s">
        <v>22</v>
      </c>
      <c r="B176" s="47">
        <v>928</v>
      </c>
      <c r="I176" s="5"/>
    </row>
    <row r="177" spans="1:9" ht="16.2" thickBot="1" x14ac:dyDescent="0.35">
      <c r="A177" s="18" t="s">
        <v>46</v>
      </c>
      <c r="B177" s="46">
        <v>935</v>
      </c>
      <c r="I177" s="5"/>
    </row>
    <row r="178" spans="1:9" x14ac:dyDescent="0.3">
      <c r="A178" s="4"/>
      <c r="I178" s="5"/>
    </row>
    <row r="179" spans="1:9" x14ac:dyDescent="0.3">
      <c r="A179" s="4"/>
      <c r="I179" s="5"/>
    </row>
    <row r="180" spans="1:9" x14ac:dyDescent="0.3">
      <c r="A180" s="4"/>
      <c r="I180" s="5"/>
    </row>
    <row r="181" spans="1:9" x14ac:dyDescent="0.3">
      <c r="A181" s="4"/>
      <c r="I181" s="5"/>
    </row>
    <row r="182" spans="1:9" x14ac:dyDescent="0.3">
      <c r="A182" s="4"/>
      <c r="I182" s="5"/>
    </row>
    <row r="183" spans="1:9" x14ac:dyDescent="0.3">
      <c r="A183" s="4"/>
      <c r="I183" s="5"/>
    </row>
    <row r="184" spans="1:9" ht="16.2" thickBot="1" x14ac:dyDescent="0.35">
      <c r="A184" s="8"/>
      <c r="B184" s="9"/>
      <c r="C184" s="9"/>
      <c r="D184" s="9"/>
      <c r="E184" s="9"/>
      <c r="F184" s="9"/>
      <c r="G184" s="9"/>
      <c r="H184" s="9"/>
      <c r="I184" s="10"/>
    </row>
    <row r="186" spans="1:9" ht="16.2" thickBot="1" x14ac:dyDescent="0.35"/>
    <row r="187" spans="1:9" ht="16.2" thickBot="1" x14ac:dyDescent="0.35"/>
    <row r="196" ht="16.2" thickBot="1" x14ac:dyDescent="0.35"/>
    <row r="197" ht="16.2" thickBot="1" x14ac:dyDescent="0.35"/>
    <row r="206" ht="16.2" thickBot="1" x14ac:dyDescent="0.35"/>
    <row r="207" ht="16.2" thickBot="1" x14ac:dyDescent="0.35"/>
    <row r="216" ht="16.2" thickBot="1" x14ac:dyDescent="0.35"/>
    <row r="217" ht="16.2" thickBot="1" x14ac:dyDescent="0.35"/>
    <row r="226" ht="16.2" thickBot="1" x14ac:dyDescent="0.35"/>
    <row r="227" ht="16.2" thickBot="1" x14ac:dyDescent="0.35"/>
    <row r="236" ht="16.2" thickBot="1" x14ac:dyDescent="0.35"/>
  </sheetData>
  <mergeCells count="8">
    <mergeCell ref="A138:I138"/>
    <mergeCell ref="A93:I93"/>
    <mergeCell ref="A113:I113"/>
    <mergeCell ref="A2:E2"/>
    <mergeCell ref="A15:E15"/>
    <mergeCell ref="A30:H30"/>
    <mergeCell ref="A49:I49"/>
    <mergeCell ref="A74:I7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488F-7C0B-440E-931C-3FE6425090F8}">
  <dimension ref="A1"/>
  <sheetViews>
    <sheetView showGridLines="0" tabSelected="1" zoomScale="73" zoomScaleNormal="73" workbookViewId="0">
      <selection activeCell="AA10" sqref="AA1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Dhruv Rapariya</cp:lastModifiedBy>
  <dcterms:created xsi:type="dcterms:W3CDTF">2024-06-23T13:11:17Z</dcterms:created>
  <dcterms:modified xsi:type="dcterms:W3CDTF">2025-12-23T12:39:05Z</dcterms:modified>
</cp:coreProperties>
</file>